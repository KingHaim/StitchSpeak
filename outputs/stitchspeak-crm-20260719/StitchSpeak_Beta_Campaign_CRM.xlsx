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0a9d9956d44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er CRM" sheetId="1" r:id="R4a8849d638eb4cda"/>
    <x:sheet xmlns:r="http://schemas.openxmlformats.org/officeDocument/2006/relationships" name="Partner CRM" sheetId="2" r:id="R8451b209f1874669"/>
    <x:sheet xmlns:r="http://schemas.openxmlformats.org/officeDocument/2006/relationships" name="Campaign Tasks" sheetId="3" r:id="R68552bf2c9c04b07"/>
    <x:sheet xmlns:r="http://schemas.openxmlformats.org/officeDocument/2006/relationships" name="Lookups" sheetId="4" r:id="R78070810a064400d"/>
    <x:sheet xmlns:r="http://schemas.openxmlformats.org/officeDocument/2006/relationships" name="Dashboard" sheetId="5" r:id="R1649c7c5911448fd"/>
    <x:sheet xmlns:r="http://schemas.openxmlformats.org/officeDocument/2006/relationships" name="UTM Links" sheetId="6" r:id="R15eff7fa628847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yyyy-mm-dd"/>
    <x:numFmt numFmtId="203" formatCode="0.0%"/>
  </x:numFmts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17202A"/>
      <x:name val="Carlito"/>
    </x:font>
    <x:font>
      <x:b/>
      <x:sz val="11"/>
      <x:color rgb="FFFFFFFF"/>
      <x:name val="Carlito"/>
    </x:font>
    <x:font>
      <x:b/>
      <x:sz val="10"/>
      <x:color rgb="FF17202A"/>
      <x:name val="Carlito"/>
    </x:font>
    <x:font>
      <x:b/>
      <x:sz val="14"/>
      <x:color rgb="FF234D4A"/>
      <x:name val="Carlito"/>
    </x:font>
    <x:font>
      <x:sz val="9"/>
      <x:color rgb="FF5B677A"/>
      <x:name val="Carlito"/>
    </x:font>
    <x:font>
      <x:sz val="11"/>
      <x:color rgb="FF17202A"/>
      <x:name val="Carlito"/>
    </x:font>
    <x:font>
      <x:sz val="9"/>
      <x:color rgb="FF1D4ED8"/>
      <x:name val="Carlito"/>
    </x:font>
    <x:font>
      <x:b/>
      <x:sz val="10"/>
      <x:color rgb="FF234D4A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234D4A"/>
      </x:patternFill>
    </x:fill>
    <x:fill>
      <x:patternFill patternType="solid">
        <x:fgColor rgb="FFDDEFEA"/>
      </x:patternFill>
    </x:fill>
    <x:fill>
      <x:patternFill patternType="solid">
        <x:fgColor rgb="FF2F7D76"/>
      </x:patternFill>
    </x:fill>
    <x:fill>
      <x:patternFill patternType="solid">
        <x:fgColor rgb="FFFFFFFF"/>
      </x:patternFill>
    </x:fill>
    <x:fill>
      <x:patternFill patternType="solid">
        <x:fgColor rgb="FFFFF7D6"/>
      </x:patternFill>
    </x:fill>
    <x:fill>
      <x:patternFill patternType="solid">
        <x:fgColor rgb="FFF7FAF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234D4A"/>
      </x:patternFill>
    </x:fill>
    <x:fill>
      <x:patternFill patternType="solid">
        <x:fgColor rgb="FFDDEFEA"/>
      </x:patternFill>
    </x:fill>
    <x:fill>
      <x:patternFill patternType="solid">
        <x:fgColor rgb="FF2F7D76"/>
      </x:patternFill>
    </x:fill>
    <x:fill>
      <x:patternFill patternType="solid">
        <x:fgColor rgb="FFFFF7D6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27">
    <x:border/>
    <x:border>
      <x:left style="thin">
        <x:color rgb="FF234D4A"/>
      </x:left>
      <x:top style="thin">
        <x:color rgb="FF234D4A"/>
      </x:top>
      <x:bottom style="thin">
        <x:color rgb="FF234D4A"/>
      </x:bottom>
    </x:border>
    <x:border>
      <x:top style="thin">
        <x:color rgb="FF234D4A"/>
      </x:top>
      <x:bottom style="thin">
        <x:color rgb="FF234D4A"/>
      </x:bottom>
    </x:border>
    <x:border>
      <x:right style="thin">
        <x:color rgb="FF234D4A"/>
      </x:right>
      <x:top style="thin">
        <x:color rgb="FF234D4A"/>
      </x:top>
      <x:bottom style="thin">
        <x:color rgb="FF234D4A"/>
      </x:bottom>
    </x:border>
    <x:border>
      <x:top style="thin">
        <x:color rgb="FFD8DEE8"/>
      </x:top>
      <x:bottom style="thin">
        <x:color rgb="FFEEF2F6"/>
      </x:bottom>
    </x:border>
    <x:border>
      <x:top style="thin">
        <x:color rgb="FFEEF2F6"/>
      </x:top>
      <x:bottom style="thin">
        <x:color rgb="FFEEF2F6"/>
      </x:bottom>
    </x:border>
    <x:border>
      <x:top style="thin">
        <x:color rgb="FFEEF2F6"/>
      </x:top>
      <x:bottom style="thin">
        <x:color rgb="FFD8DEE8"/>
      </x:bottom>
    </x:border>
    <x:border>
      <x:right style="thin">
        <x:color rgb="FFEEF2F6"/>
      </x:right>
      <x:bottom style="thin">
        <x:color rgb="FFEEF2F6"/>
      </x:bottom>
    </x:border>
    <x:border>
      <x:left style="thin">
        <x:color rgb="FFEEF2F6"/>
      </x:left>
      <x:right style="thin">
        <x:color rgb="FFEEF2F6"/>
      </x:right>
      <x:bottom style="thin">
        <x:color rgb="FFEEF2F6"/>
      </x:bottom>
    </x:border>
    <x:border>
      <x:left style="thin">
        <x:color rgb="FFEEF2F6"/>
      </x:left>
      <x:bottom style="thin">
        <x:color rgb="FFEEF2F6"/>
      </x:bottom>
    </x:border>
    <x:border>
      <x:right style="thin">
        <x:color rgb="FFEEF2F6"/>
      </x:right>
      <x:top style="thin">
        <x:color rgb="FFEEF2F6"/>
      </x:top>
      <x:bottom style="thin">
        <x:color rgb="FFEEF2F6"/>
      </x:bottom>
    </x:border>
    <x:border>
      <x:left style="thin">
        <x:color rgb="FFEEF2F6"/>
      </x:left>
      <x:right style="thin">
        <x:color rgb="FFEEF2F6"/>
      </x:right>
      <x:top style="thin">
        <x:color rgb="FFEEF2F6"/>
      </x:top>
      <x:bottom style="thin">
        <x:color rgb="FFEEF2F6"/>
      </x:bottom>
    </x:border>
    <x:border>
      <x:left style="thin">
        <x:color rgb="FFEEF2F6"/>
      </x:left>
      <x:top style="thin">
        <x:color rgb="FFEEF2F6"/>
      </x:top>
      <x:bottom style="thin">
        <x:color rgb="FFEEF2F6"/>
      </x:bottom>
    </x:border>
    <x:border>
      <x:right style="thin">
        <x:color rgb="FFEEF2F6"/>
      </x:right>
      <x:top style="thin">
        <x:color rgb="FFEEF2F6"/>
      </x:top>
    </x:border>
    <x:border>
      <x:left style="thin">
        <x:color rgb="FFEEF2F6"/>
      </x:left>
      <x:right style="thin">
        <x:color rgb="FFEEF2F6"/>
      </x:right>
      <x:top style="thin">
        <x:color rgb="FFEEF2F6"/>
      </x:top>
    </x:border>
    <x:border>
      <x:left style="thin">
        <x:color rgb="FFEEF2F6"/>
      </x:left>
      <x:top style="thin">
        <x:color rgb="FFEEF2F6"/>
      </x:top>
    </x:border>
    <x:border>
      <x:left style="thin">
        <x:color rgb="FFD8DEE8"/>
      </x:left>
      <x:top style="thin">
        <x:color rgb="FFD8DEE8"/>
      </x:top>
    </x:border>
    <x:border>
      <x:top style="thin">
        <x:color rgb="FFD8DEE8"/>
      </x:top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</x:border>
    <x:border>
      <x:right style="thin">
        <x:color rgb="FFD8DEE8"/>
      </x:right>
    </x:border>
    <x:border>
      <x:left style="thin">
        <x:color rgb="FFD8DEE8"/>
      </x:left>
      <x:bottom style="thin">
        <x:color rgb="FFD8DEE8"/>
      </x:bottom>
    </x:border>
    <x:border>
      <x:bottom style="thin">
        <x:color rgb="FFD8DEE8"/>
      </x:bottom>
    </x:border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</x:borders>
  <x:cellStyleXfs count="1">
    <x:xf numFmtId="0" fontId="0" fillId="0" borderId="0"/>
  </x:cellStyleXfs>
  <x:cellXfs count="1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vertical="top"/>
    </x:xf>
    <x:xf numFmtId="0" fontId="2" fillId="5" borderId="5" xfId="0" applyNumberFormat="1" applyFont="1" applyFill="1" applyBorder="1" applyAlignment="1">
      <x:alignment vertical="top"/>
    </x:xf>
    <x:xf numFmtId="0" fontId="2" fillId="5" borderId="6" xfId="0" applyNumberFormat="1" applyFont="1" applyFill="1" applyBorder="1" applyAlignment="1">
      <x:alignment vertical="top"/>
    </x:xf>
    <x:xf numFmtId="200" fontId="2" fillId="5" borderId="4" xfId="0" applyNumberFormat="1" applyFont="1" applyFill="1" applyBorder="1" applyAlignment="1">
      <x:alignment vertical="top"/>
    </x:xf>
    <x:xf numFmtId="200" fontId="2" fillId="5" borderId="5" xfId="0" applyNumberFormat="1" applyFont="1" applyFill="1" applyBorder="1" applyAlignment="1">
      <x:alignment vertical="top"/>
    </x:xf>
    <x:xf numFmtId="200" fontId="2" fillId="5" borderId="6" xfId="0" applyNumberFormat="1" applyFont="1" applyFill="1" applyBorder="1" applyAlignment="1">
      <x:alignment vertical="top"/>
    </x:xf>
    <x:xf numFmtId="201" fontId="2" fillId="5" borderId="4" xfId="0" applyNumberFormat="1" applyFont="1" applyFill="1" applyBorder="1" applyAlignment="1">
      <x:alignment vertical="top"/>
    </x:xf>
    <x:xf numFmtId="201" fontId="2" fillId="5" borderId="5" xfId="0" applyNumberFormat="1" applyFont="1" applyFill="1" applyBorder="1" applyAlignment="1">
      <x:alignment vertical="top"/>
    </x:xf>
    <x:xf numFmtId="201" fontId="2" fillId="5" borderId="6" xfId="0" applyNumberFormat="1" applyFont="1" applyFill="1" applyBorder="1" applyAlignment="1">
      <x:alignment vertical="top"/>
    </x:xf>
    <x:xf numFmtId="202" fontId="2" fillId="5" borderId="4" xfId="0" applyNumberFormat="1" applyFont="1" applyFill="1" applyBorder="1" applyAlignment="1">
      <x:alignment vertical="top"/>
    </x:xf>
    <x:xf numFmtId="202" fontId="2" fillId="5" borderId="5" xfId="0" applyNumberFormat="1" applyFont="1" applyFill="1" applyBorder="1" applyAlignment="1">
      <x:alignment vertical="top"/>
    </x:xf>
    <x:xf numFmtId="202" fontId="2" fillId="5" borderId="6" xfId="0" applyNumberFormat="1" applyFont="1" applyFill="1" applyBorder="1" applyAlignment="1">
      <x:alignment vertical="top"/>
    </x:xf>
    <x:xf numFmtId="0" fontId="2" fillId="5" borderId="4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0" fontId="2" fillId="5" borderId="6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/>
    </x:xf>
    <x:xf numFmtId="201" fontId="2" fillId="6" borderId="4" xfId="0" applyNumberFormat="1" applyFont="1" applyFill="1" applyBorder="1" applyAlignment="1">
      <x:alignment vertical="top"/>
    </x:xf>
    <x:xf numFmtId="0" fontId="2" fillId="6" borderId="4" xfId="0" applyNumberFormat="1" applyFont="1" applyFill="1" applyBorder="1" applyAlignment="1">
      <x:alignment vertical="top" wrapText="1"/>
    </x:xf>
    <x:xf numFmtId="200" fontId="2" fillId="6" borderId="4" xfId="0" applyNumberFormat="1" applyFont="1" applyFill="1" applyBorder="1" applyAlignment="1">
      <x:alignment vertical="top"/>
    </x:xf>
    <x:xf numFmtId="0" fontId="2" fillId="6" borderId="5" xfId="0" applyNumberFormat="1" applyFont="1" applyFill="1" applyBorder="1" applyAlignment="1">
      <x:alignment vertical="top"/>
    </x:xf>
    <x:xf numFmtId="201" fontId="2" fillId="6" borderId="5" xfId="0" applyNumberFormat="1" applyFont="1" applyFill="1" applyBorder="1" applyAlignment="1">
      <x:alignment vertical="top"/>
    </x:xf>
    <x:xf numFmtId="0" fontId="2" fillId="6" borderId="5" xfId="0" applyNumberFormat="1" applyFont="1" applyFill="1" applyBorder="1" applyAlignment="1">
      <x:alignment vertical="top" wrapText="1"/>
    </x:xf>
    <x:xf numFmtId="200" fontId="2" fillId="6" borderId="5" xfId="0" applyNumberFormat="1" applyFont="1" applyFill="1" applyBorder="1" applyAlignment="1">
      <x:alignment vertical="top"/>
    </x:xf>
    <x:xf numFmtId="0" fontId="2" fillId="6" borderId="6" xfId="0" applyNumberFormat="1" applyFont="1" applyFill="1" applyBorder="1" applyAlignment="1">
      <x:alignment vertical="top"/>
    </x:xf>
    <x:xf numFmtId="201" fontId="2" fillId="6" borderId="6" xfId="0" applyNumberFormat="1" applyFont="1" applyFill="1" applyBorder="1" applyAlignment="1">
      <x:alignment vertical="top"/>
    </x:xf>
    <x:xf numFmtId="0" fontId="2" fillId="6" borderId="6" xfId="0" applyNumberFormat="1" applyFont="1" applyFill="1" applyBorder="1" applyAlignment="1">
      <x:alignment vertical="top" wrapText="1"/>
    </x:xf>
    <x:xf numFmtId="200" fontId="2" fillId="6" borderId="6" xfId="0" applyNumberFormat="1" applyFont="1" applyFill="1" applyBorder="1" applyAlignment="1">
      <x:alignment vertical="top"/>
    </x:xf>
    <x:xf numFmtId="202" fontId="2" fillId="6" borderId="4" xfId="0" applyNumberFormat="1" applyFont="1" applyFill="1" applyBorder="1" applyAlignment="1">
      <x:alignment vertical="top"/>
    </x:xf>
    <x:xf numFmtId="202" fontId="2" fillId="6" borderId="5" xfId="0" applyNumberFormat="1" applyFont="1" applyFill="1" applyBorder="1" applyAlignment="1">
      <x:alignment vertical="top"/>
    </x:xf>
    <x:xf numFmtId="202" fontId="2" fillId="6" borderId="6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2" fillId="5" borderId="10" xfId="0" applyNumberFormat="1" applyFont="1" applyFill="1" applyBorder="1"/>
    <x:xf numFmtId="0" fontId="2" fillId="5" borderId="11" xfId="0" applyNumberFormat="1" applyFont="1" applyFill="1" applyBorder="1"/>
    <x:xf numFmtId="0" fontId="2" fillId="5" borderId="12" xfId="0" applyNumberFormat="1" applyFont="1" applyFill="1" applyBorder="1"/>
    <x:xf numFmtId="0" fontId="2" fillId="5" borderId="13" xfId="0" applyNumberFormat="1" applyFont="1" applyFill="1" applyBorder="1"/>
    <x:xf numFmtId="0" fontId="2" fillId="5" borderId="14" xfId="0" applyNumberFormat="1" applyFont="1" applyFill="1" applyBorder="1"/>
    <x:xf numFmtId="0" fontId="2" fillId="5" borderId="15" xfId="0" applyNumberFormat="1" applyFont="1" applyFill="1" applyBorder="1"/>
    <x:xf numFmtId="0" fontId="2" fillId="5" borderId="16" xfId="0" applyNumberFormat="1" applyFont="1" applyFill="1" applyBorder="1"/>
    <x:xf numFmtId="0" fontId="2" fillId="5" borderId="17" xfId="0" applyNumberFormat="1" applyFont="1" applyFill="1" applyBorder="1"/>
    <x:xf numFmtId="0" fontId="2" fillId="5" borderId="18" xfId="0" applyNumberFormat="1" applyFont="1" applyFill="1" applyBorder="1"/>
    <x:xf numFmtId="0" fontId="2" fillId="5" borderId="19" xfId="0" applyNumberFormat="1" applyFont="1" applyFill="1" applyBorder="1"/>
    <x:xf numFmtId="0" fontId="2" fillId="5" borderId="20" xfId="0" applyNumberFormat="1" applyFont="1" applyFill="1" applyBorder="1"/>
    <x:xf numFmtId="0" fontId="2" fillId="5" borderId="21" xfId="0" applyNumberFormat="1" applyFont="1" applyFill="1" applyBorder="1"/>
    <x:xf numFmtId="0" fontId="2" fillId="5" borderId="22" xfId="0" applyNumberFormat="1" applyFont="1" applyFill="1" applyBorder="1"/>
    <x:xf numFmtId="0" fontId="2" fillId="5" borderId="23" xfId="0" applyNumberFormat="1" applyFont="1" applyFill="1" applyBorder="1"/>
    <x:xf numFmtId="0" fontId="4" fillId="5" borderId="16" xfId="0" applyNumberFormat="1" applyFont="1" applyFill="1" applyBorder="1"/>
    <x:xf numFmtId="0" fontId="4" fillId="5" borderId="19" xfId="0" applyNumberFormat="1" applyFont="1" applyFill="1" applyBorder="1"/>
    <x:xf numFmtId="0" fontId="4" fillId="5" borderId="21" xfId="0" applyNumberFormat="1" applyFont="1" applyFill="1" applyBorder="1"/>
    <x:xf numFmtId="0" fontId="2" fillId="3" borderId="17" xfId="0" applyNumberFormat="1" applyFont="1" applyFill="1" applyBorder="1"/>
    <x:xf numFmtId="0" fontId="2" fillId="3" borderId="22" xfId="0" applyNumberFormat="1" applyFont="1" applyFill="1" applyBorder="1"/>
    <x:xf numFmtId="0" fontId="5" fillId="3" borderId="17" xfId="0" applyNumberFormat="1" applyFont="1" applyFill="1" applyBorder="1"/>
    <x:xf numFmtId="0" fontId="5" fillId="3" borderId="0" xfId="0" applyNumberFormat="1" applyFont="1" applyFill="1" applyBorder="1"/>
    <x:xf numFmtId="0" fontId="5" fillId="3" borderId="22" xfId="0" applyNumberFormat="1" applyFont="1" applyFill="1" applyBorder="1"/>
    <x:xf numFmtId="201" fontId="5" fillId="3" borderId="17" xfId="0" applyNumberFormat="1" applyFont="1" applyFill="1" applyBorder="1"/>
    <x:xf numFmtId="201" fontId="5" fillId="3" borderId="0" xfId="0" applyNumberFormat="1" applyFont="1" applyFill="1" applyBorder="1"/>
    <x:xf numFmtId="201" fontId="5" fillId="3" borderId="22" xfId="0" applyNumberFormat="1" applyFont="1" applyFill="1" applyBorder="1"/>
    <x:xf numFmtId="201" fontId="5" fillId="3" borderId="17" xfId="0" applyNumberFormat="1" applyFont="1" applyFill="1" applyBorder="1" applyAlignment="1">
      <x:alignment horizontal="center"/>
    </x:xf>
    <x:xf numFmtId="201" fontId="5" fillId="3" borderId="0" xfId="0" applyNumberFormat="1" applyFont="1" applyFill="1" applyBorder="1" applyAlignment="1">
      <x:alignment horizontal="center"/>
    </x:xf>
    <x:xf numFmtId="201" fontId="5" fillId="3" borderId="22" xfId="0" applyNumberFormat="1" applyFont="1" applyFill="1" applyBorder="1" applyAlignment="1">
      <x:alignment horizontal="center"/>
    </x:xf>
    <x:xf numFmtId="0" fontId="2" fillId="7" borderId="18" xfId="0" applyNumberFormat="1" applyFont="1" applyFill="1" applyBorder="1"/>
    <x:xf numFmtId="0" fontId="2" fillId="7" borderId="20" xfId="0" applyNumberFormat="1" applyFont="1" applyFill="1" applyBorder="1"/>
    <x:xf numFmtId="0" fontId="2" fillId="7" borderId="23" xfId="0" applyNumberFormat="1" applyFont="1" applyFill="1" applyBorder="1"/>
    <x:xf numFmtId="0" fontId="6" fillId="7" borderId="18" xfId="0" applyNumberFormat="1" applyFont="1" applyFill="1" applyBorder="1"/>
    <x:xf numFmtId="0" fontId="6" fillId="7" borderId="20" xfId="0" applyNumberFormat="1" applyFont="1" applyFill="1" applyBorder="1"/>
    <x:xf numFmtId="0" fontId="6" fillId="7" borderId="23" xfId="0" applyNumberFormat="1" applyFont="1" applyFill="1" applyBorder="1"/>
    <x:xf numFmtId="203" fontId="2" fillId="5" borderId="4" xfId="0" applyNumberFormat="1" applyFont="1" applyFill="1" applyBorder="1" applyAlignment="1">
      <x:alignment vertical="top"/>
    </x:xf>
    <x:xf numFmtId="203" fontId="2" fillId="5" borderId="5" xfId="0" applyNumberFormat="1" applyFont="1" applyFill="1" applyBorder="1" applyAlignment="1">
      <x:alignment vertical="top"/>
    </x:xf>
    <x:xf numFmtId="203" fontId="2" fillId="5" borderId="6" xfId="0" applyNumberFormat="1" applyFont="1" applyFill="1" applyBorder="1" applyAlignment="1">
      <x:alignment vertical="top"/>
    </x:xf>
    <x:xf numFmtId="0" fontId="2" fillId="8" borderId="5" xfId="0" applyNumberFormat="1" applyFont="1" applyFill="1" applyBorder="1" applyAlignment="1">
      <x:alignment vertical="top"/>
    </x:xf>
    <x:xf numFmtId="0" fontId="2" fillId="9" borderId="5" xfId="0" applyNumberFormat="1" applyFont="1" applyFill="1" applyBorder="1" applyAlignment="1">
      <x:alignment vertical="top"/>
    </x:xf>
    <x:xf numFmtId="0" fontId="2" fillId="10" borderId="6" xfId="0" applyNumberFormat="1" applyFont="1" applyFill="1" applyBorder="1" applyAlignment="1">
      <x:alignment vertical="top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left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right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24" xfId="0" applyNumberFormat="1" applyFont="1" applyFill="1" applyBorder="1"/>
    <x:xf numFmtId="0" fontId="7" fillId="14" borderId="25" xfId="0" applyNumberFormat="1" applyFont="1" applyFill="1" applyBorder="1"/>
    <x:xf numFmtId="0" fontId="7" fillId="14" borderId="26" xfId="0" applyNumberFormat="1" applyFont="1" applyFill="1" applyBorder="1"/>
    <x:xf numFmtId="0" fontId="3" fillId="13" borderId="1" xfId="0" applyNumberFormat="1" applyFont="1" applyFill="1" applyBorder="1"/>
    <x:xf numFmtId="0" fontId="3" fillId="13" borderId="2" xfId="0" applyNumberFormat="1" applyFont="1" applyFill="1" applyBorder="1"/>
    <x:xf numFmtId="0" fontId="3" fillId="13" borderId="3" xfId="0" applyNumberFormat="1" applyFont="1" applyFill="1" applyBorder="1"/>
    <x:xf numFmtId="0" fontId="3" fillId="13" borderId="1" xfId="0" applyNumberFormat="1" applyFont="1" applyFill="1" applyBorder="1" applyAlignment="1">
      <x:alignment wrapText="1"/>
    </x:xf>
    <x:xf numFmtId="0" fontId="3" fillId="13" borderId="2" xfId="0" applyNumberFormat="1" applyFont="1" applyFill="1" applyBorder="1" applyAlignment="1">
      <x:alignment wrapText="1"/>
    </x:xf>
    <x:xf numFmtId="0" fontId="3" fillId="13" borderId="3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horizontal="center" wrapText="1"/>
    </x:xf>
    <x:xf numFmtId="0" fontId="3" fillId="13" borderId="2" xfId="0" applyNumberFormat="1" applyFont="1" applyFill="1" applyBorder="1" applyAlignment="1">
      <x:alignment horizontal="center" wrapText="1"/>
    </x:xf>
    <x:xf numFmtId="0" fontId="3" fillId="13" borderId="3" xfId="0" applyNumberFormat="1" applyFont="1" applyFill="1" applyBorder="1" applyAlignment="1">
      <x:alignment horizontal="center" wrapText="1"/>
    </x:xf>
    <x:xf numFmtId="0" fontId="3" fillId="13" borderId="1" xfId="0" applyNumberFormat="1" applyFont="1" applyFill="1" applyBorder="1" applyAlignment="1">
      <x:alignment horizontal="center" vertical="center" wrapText="1"/>
    </x:xf>
    <x:xf numFmtId="0" fontId="3" fillId="13" borderId="2" xfId="0" applyNumberFormat="1" applyFont="1" applyFill="1" applyBorder="1" applyAlignment="1">
      <x:alignment horizontal="center" vertical="center" wrapText="1"/>
    </x:xf>
    <x:xf numFmtId="0" fontId="3" fillId="13" borderId="3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4" xfId="0" applyNumberFormat="1" applyFont="1" applyFill="1" applyBorder="1"/>
    <x:xf numFmtId="0" fontId="2" fillId="15" borderId="5" xfId="0" applyNumberFormat="1" applyFont="1" applyFill="1" applyBorder="1"/>
    <x:xf numFmtId="0" fontId="2" fillId="15" borderId="6" xfId="0" applyNumberFormat="1" applyFont="1" applyFill="1" applyBorder="1"/>
    <x:xf numFmtId="0" fontId="2" fillId="15" borderId="4" xfId="0" applyNumberFormat="1" applyFont="1" applyFill="1" applyBorder="1" applyAlignment="1">
      <x:alignment vertical="top"/>
    </x:xf>
    <x:xf numFmtId="0" fontId="2" fillId="15" borderId="5" xfId="0" applyNumberFormat="1" applyFont="1" applyFill="1" applyBorder="1" applyAlignment="1">
      <x:alignment vertical="top"/>
    </x:xf>
    <x:xf numFmtId="0" fontId="2" fillId="15" borderId="6" xfId="0" applyNumberFormat="1" applyFont="1" applyFill="1" applyBorder="1" applyAlignment="1">
      <x:alignment vertical="top"/>
    </x:xf>
    <x:xf numFmtId="0" fontId="2" fillId="14" borderId="4" xfId="0" applyNumberFormat="1" applyFont="1" applyFill="1" applyBorder="1" applyAlignment="1">
      <x:alignment vertical="top"/>
    </x:xf>
    <x:xf numFmtId="0" fontId="2" fillId="14" borderId="5" xfId="0" applyNumberFormat="1" applyFont="1" applyFill="1" applyBorder="1" applyAlignment="1">
      <x:alignment vertical="top"/>
    </x:xf>
    <x:xf numFmtId="0" fontId="2" fillId="14" borderId="6" xfId="0" applyNumberFormat="1" applyFont="1" applyFill="1" applyBorder="1" applyAlignment="1">
      <x:alignment vertical="top"/>
    </x:xf>
    <x:xf numFmtId="0" fontId="2" fillId="16" borderId="4" xfId="0" applyNumberFormat="1" applyFont="1" applyFill="1" applyBorder="1" applyAlignment="1">
      <x:alignment vertical="top"/>
    </x:xf>
    <x:xf numFmtId="0" fontId="2" fillId="16" borderId="5" xfId="0" applyNumberFormat="1" applyFont="1" applyFill="1" applyBorder="1" applyAlignment="1">
      <x:alignment vertical="top"/>
    </x:xf>
    <x:xf numFmtId="0" fontId="2" fillId="16" borderId="6" xfId="0" applyNumberFormat="1" applyFont="1" applyFill="1" applyBorder="1" applyAlignment="1">
      <x:alignment vertical="top"/>
    </x:xf>
    <x:xf numFmtId="0" fontId="8" fillId="16" borderId="4" xfId="0" applyNumberFormat="1" applyFont="1" applyFill="1" applyBorder="1" applyAlignment="1">
      <x:alignment vertical="top"/>
    </x:xf>
    <x:xf numFmtId="0" fontId="8" fillId="16" borderId="5" xfId="0" applyNumberFormat="1" applyFont="1" applyFill="1" applyBorder="1" applyAlignment="1">
      <x:alignment vertical="top"/>
    </x:xf>
    <x:xf numFmtId="0" fontId="8" fillId="16" borderId="6" xfId="0" applyNumberFormat="1" applyFont="1" applyFill="1" applyBorder="1" applyAlignment="1">
      <x:alignment vertical="top"/>
    </x:xf>
    <x:xf numFmtId="0" fontId="8" fillId="16" borderId="4" xfId="0" applyNumberFormat="1" applyFont="1" applyFill="1" applyBorder="1" applyAlignment="1">
      <x:alignment vertical="top" wrapText="1"/>
    </x:xf>
    <x:xf numFmtId="0" fontId="8" fillId="16" borderId="5" xfId="0" applyNumberFormat="1" applyFont="1" applyFill="1" applyBorder="1" applyAlignment="1">
      <x:alignment vertical="top" wrapText="1"/>
    </x:xf>
    <x:xf numFmtId="0" fontId="8" fillId="16" borderId="6" xfId="0" applyNumberFormat="1" applyFont="1" applyFill="1" applyBorder="1" applyAlignment="1">
      <x:alignment vertical="top" wrapText="1"/>
    </x:xf>
    <x:xf numFmtId="0" fontId="2" fillId="14" borderId="4" xfId="0" applyNumberFormat="1" applyFont="1" applyFill="1" applyBorder="1" applyAlignment="1">
      <x:alignment vertical="top" wrapText="1"/>
    </x:xf>
    <x:xf numFmtId="0" fontId="2" fillId="14" borderId="5" xfId="0" applyNumberFormat="1" applyFont="1" applyFill="1" applyBorder="1" applyAlignment="1">
      <x:alignment vertical="top" wrapText="1"/>
    </x:xf>
    <x:xf numFmtId="0" fontId="2" fillId="14" borderId="6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/>
    </x:xf>
    <x:xf numFmtId="0" fontId="2" fillId="15" borderId="16" xfId="0" applyNumberFormat="1" applyFont="1" applyFill="1" applyBorder="1"/>
    <x:xf numFmtId="0" fontId="2" fillId="15" borderId="17" xfId="0" applyNumberFormat="1" applyFont="1" applyFill="1" applyBorder="1"/>
    <x:xf numFmtId="0" fontId="2" fillId="15" borderId="18" xfId="0" applyNumberFormat="1" applyFont="1" applyFill="1" applyBorder="1"/>
    <x:xf numFmtId="0" fontId="2" fillId="15" borderId="19" xfId="0" applyNumberFormat="1" applyFont="1" applyFill="1" applyBorder="1"/>
    <x:xf numFmtId="0" fontId="2" fillId="15" xfId="0" applyNumberFormat="1" applyFont="1" applyFill="1" applyBorder="0"/>
    <x:xf numFmtId="0" fontId="2" fillId="15" borderId="20" xfId="0" applyNumberFormat="1" applyFont="1" applyFill="1" applyBorder="1"/>
    <x:xf numFmtId="0" fontId="2" fillId="15" borderId="21" xfId="0" applyNumberFormat="1" applyFont="1" applyFill="1" applyBorder="1"/>
    <x:xf numFmtId="0" fontId="2" fillId="15" borderId="22" xfId="0" applyNumberFormat="1" applyFont="1" applyFill="1" applyBorder="1"/>
    <x:xf numFmtId="0" fontId="2" fillId="15" borderId="23" xfId="0" applyNumberFormat="1" applyFont="1" applyFill="1" applyBorder="1"/>
    <x:xf numFmtId="0" fontId="2" fillId="12" borderId="17" xfId="0" applyNumberFormat="1" applyFont="1" applyFill="1" applyBorder="1"/>
    <x:xf numFmtId="0" fontId="2" fillId="12" xfId="0" applyNumberFormat="1" applyFont="1" applyFill="1" applyBorder="0"/>
    <x:xf numFmtId="0" fontId="2" fillId="12" borderId="22" xfId="0" applyNumberFormat="1" applyFont="1" applyFill="1" applyBorder="1"/>
    <x:xf numFmtId="0" fontId="9" fillId="12" borderId="17" xfId="0" applyNumberFormat="1" applyFont="1" applyFill="1" applyBorder="1"/>
    <x:xf numFmtId="0" fontId="9" fillId="12" xfId="0" applyNumberFormat="1" applyFont="1" applyFill="1" applyBorder="0"/>
    <x:xf numFmtId="0" fontId="9" fillId="12" borderId="22" xfId="0" applyNumberFormat="1" applyFont="1" applyFill="1" applyBorder="1"/>
    <x:xf numFmtId="201" fontId="9" fillId="12" borderId="17" xfId="0" applyNumberFormat="1" applyFont="1" applyFill="1" applyBorder="1"/>
    <x:xf numFmtId="201" fontId="9" fillId="12" xfId="0" applyNumberFormat="1" applyFont="1" applyFill="1" applyBorder="0"/>
    <x:xf numFmtId="201" fontId="9" fillId="12" borderId="22" xfId="0" applyNumberFormat="1" applyFont="1" applyFill="1" applyBorder="1"/>
    <x:xf numFmtId="201" fontId="9" fillId="12" borderId="17" xfId="0" applyNumberFormat="1" applyFont="1" applyFill="1" applyBorder="1" applyAlignment="1">
      <x:alignment horizontal="center"/>
    </x:xf>
    <x:xf numFmtId="201" fontId="9" fillId="12" xfId="0" applyNumberFormat="1" applyFont="1" applyFill="1" applyBorder="0" applyAlignment="1">
      <x:alignment horizontal="center"/>
    </x:xf>
    <x:xf numFmtId="201" fontId="9" fillId="12" borderId="22" xfId="0" applyNumberFormat="1" applyFont="1" applyFill="1" applyBorder="1" applyAlignment="1">
      <x:alignment horizontal="center"/>
    </x:xf>
  </x:cellXfs>
  <x:cellStyles count="1">
    <x:cellStyle name="Normal" xfId="0"/>
  </x:cellStyles>
  <x:dxfs count="16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5B21B6"/>
      </x:font>
      <x:fill>
        <x:patternFill>
          <x:bgColor rgb="FFEDE9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5B21B6"/>
      </x:font>
      <x:fill>
        <x:patternFill>
          <x:bgColor rgb="FFEDE9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c9724e22d457d" /><Relationship Type="http://schemas.openxmlformats.org/officeDocument/2006/relationships/theme" Target="/xl/theme/theme1.xml" Id="R35905ec9af114cfd" /><Relationship Type="http://schemas.openxmlformats.org/officeDocument/2006/relationships/sharedStrings" Target="/xl/sharedStrings.xml" Id="Rcab83f627a9a4ff2" /><Relationship Type="http://schemas.openxmlformats.org/officeDocument/2006/relationships/worksheet" Target="/xl/worksheets/sheet1.xml" Id="R4a8849d638eb4cda" /><Relationship Type="http://schemas.openxmlformats.org/officeDocument/2006/relationships/worksheet" Target="/xl/worksheets/sheet2.xml" Id="R8451b209f1874669" /><Relationship Type="http://schemas.openxmlformats.org/officeDocument/2006/relationships/worksheet" Target="/xl/worksheets/sheet3.xml" Id="R68552bf2c9c04b07" /><Relationship Type="http://schemas.openxmlformats.org/officeDocument/2006/relationships/worksheet" Target="/xl/worksheets/sheet4.xml" Id="R78070810a064400d" /><Relationship Type="http://schemas.openxmlformats.org/officeDocument/2006/relationships/worksheet" Target="/xl/worksheets/sheet5.xml" Id="R1649c7c5911448fd" /><Relationship Type="http://schemas.openxmlformats.org/officeDocument/2006/relationships/worksheet" Target="/xl/worksheets/sheet6.xml" Id="R15eff7fa628847be" /></Relationships>
</file>

<file path=xl/tables/table1.xml><?xml version="1.0" encoding="utf-8"?>
<x:table xmlns:x="http://schemas.openxmlformats.org/spreadsheetml/2006/main" id="1" name="DesignerPipeline" displayName="DesignerPipeline" ref="A4:AI154" headerRowCount="1" totalsRowCount="0" totalsRowShown="0">
  <x:tableColumns count="35">
    <x:tableColumn id="1" name="Lead ID"/>
    <x:tableColumn id="2" name="Designer Name"/>
    <x:tableColumn id="3" name="Contact Name"/>
    <x:tableColumn id="4" name="Instagram"/>
    <x:tableColumn id="5" name="Email"/>
    <x:tableColumn id="6" name="Source"/>
    <x:tableColumn id="7" name="Audience Size"/>
    <x:tableColumn id="8" name="Selling Platform"/>
    <x:tableColumn id="9" name="Pattern Candidate"/>
    <x:tableColumn id="10" name="Target Market / Language"/>
    <x:tableColumn id="11" name="Pattern Strength (0-5)"/>
    <x:tableColumn id="12" name="Audience Strength (0-5)"/>
    <x:tableColumn id="13" name="Owns Rights?"/>
    <x:tableColumn id="14" name="Release Plan?"/>
    <x:tableColumn id="15" name="Can Review?"/>
    <x:tableColumn id="16" name="Public Proof?"/>
    <x:tableColumn id="17" name="Best-fit Score"/>
    <x:tableColumn id="18" name="Qualification"/>
    <x:tableColumn id="19" name="Status"/>
    <x:tableColumn id="20" name="DM Sent Date"/>
    <x:tableColumn id="21" name="Replied Date"/>
    <x:tableColumn id="22" name="Applied Date"/>
    <x:tableColumn id="23" name="Approved Date"/>
    <x:tableColumn id="24" name="First Upload Date"/>
    <x:tableColumn id="25" name="First Translation Date"/>
    <x:tableColumn id="26" name="Public Proof Date"/>
    <x:tableColumn id="27" name="Referral Sent Date"/>
    <x:tableColumn id="28" name="Referred Leads"/>
    <x:tableColumn id="29" name="Paid Conversion?"/>
    <x:tableColumn id="30" name="Notes"/>
    <x:tableColumn id="31" name="Next Action"/>
    <x:tableColumn id="32" name="Next Action Date"/>
    <x:tableColumn id="33" name="Days Since Last Touch"/>
    <x:tableColumn id="34" name="UTM / Link"/>
    <x:tableColumn id="35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tnerPipeline" displayName="PartnerPipeline" ref="A4:Q104" headerRowCount="1" totalsRowCount="0" totalsRowShown="0">
  <x:tableColumns count="17">
    <x:tableColumn id="1" name="Partner ID"/>
    <x:tableColumn id="2" name="Partner Name"/>
    <x:tableColumn id="3" name="Type"/>
    <x:tableColumn id="4" name="Contact"/>
    <x:tableColumn id="5" name="Email"/>
    <x:tableColumn id="6" name="Source"/>
    <x:tableColumn id="7" name="Audience / Reach"/>
    <x:tableColumn id="8" name="Fit Reason"/>
    <x:tableColumn id="9" name="Offer / Ask"/>
    <x:tableColumn id="10" name="Status"/>
    <x:tableColumn id="11" name="Outreach Date"/>
    <x:tableColumn id="12" name="Reply Date"/>
    <x:tableColumn id="13" name="Mention Date"/>
    <x:tableColumn id="14" name="Leads Attributed"/>
    <x:tableColumn id="15" name="Notes"/>
    <x:tableColumn id="16" name="Next Action"/>
    <x:tableColumn id="17" name="Next Action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mpaignTasks" displayName="CampaignTasks" ref="A4:I22" headerRowCount="1" totalsRowCount="0" totalsRowShown="0">
  <x:tableColumns count="9">
    <x:tableColumn id="1" name="Week"/>
    <x:tableColumn id="2" name="Phase"/>
    <x:tableColumn id="3" name="Task"/>
    <x:tableColumn id="4" name="Channel"/>
    <x:tableColumn id="5" name="Owner"/>
    <x:tableColumn id="6" name="Priority"/>
    <x:tableColumn id="7" name="Status"/>
    <x:tableColumn id="8" name="Due Date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TMLinks" displayName="UTMLinks" ref="A10:M28" headerRowCount="1" totalsRowCount="0" totalsRowShown="0">
  <x:tableColumns count="13">
    <x:tableColumn id="1" name="Link ID"/>
    <x:tableColumn id="2" name="Destination URL"/>
    <x:tableColumn id="3" name="UTM Source"/>
    <x:tableColumn id="4" name="UTM Medium"/>
    <x:tableColumn id="5" name="UTM Campaign"/>
    <x:tableColumn id="6" name="UTM Content"/>
    <x:tableColumn id="7" name="UTM Term"/>
    <x:tableColumn id="8" name="CTA"/>
    <x:tableColumn id="9" name="Final URL"/>
    <x:tableColumn id="10" name="Where To Use"/>
    <x:tableColumn id="11" name="Notes"/>
    <x:tableColumn id="12" name="Owner"/>
    <x:tableColumn id="1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e014e233a542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e29796c94c4e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94a16178f149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e9fa954a89e45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4" hidden="0" customWidth="1"/>
    <x:col min="8" max="8" width="18" hidden="0" customWidth="1"/>
    <x:col min="9" max="9" width="26" hidden="0" customWidth="1"/>
    <x:col min="10" max="10" width="22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4" hidden="0" customWidth="1"/>
    <x:col min="19" max="19" width="16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5" hidden="0" customWidth="1"/>
    <x:col min="25" max="25" width="17" hidden="0" customWidth="1"/>
    <x:col min="26" max="26" width="15" hidden="0" customWidth="1"/>
    <x:col min="27" max="27" width="15" hidden="0" customWidth="1"/>
    <x:col min="28" max="28" width="13" hidden="0" customWidth="1"/>
    <x:col min="29" max="29" width="15" hidden="0" customWidth="1"/>
    <x:col min="30" max="30" width="30" hidden="0" customWidth="1"/>
    <x:col min="31" max="31" width="22" hidden="0" customWidth="1"/>
    <x:col min="32" max="32" width="14" hidden="0" customWidth="1"/>
    <x:col min="33" max="33" width="16" hidden="0" customWidth="1"/>
    <x:col min="34" max="34" width="24" hidden="0" customWidth="1"/>
    <x:col min="35" max="35" width="24" hidden="0" customWidth="1"/>
  </x:cols>
  <x:sheetData>
    <x:row r="1" ht="19.200000762939453" hidden="0" customHeight="1">
      <x:c r="A1" s="4" t="str">
        <x:v>StitchSpeak Designer Beta CRM</x:v>
      </x:c>
      <x:c r="B1" s="4" t="str">
        <x:v>StitchSpeak Designer Beta CRM</x:v>
      </x:c>
      <x:c r="C1" s="4" t="str">
        <x:v>StitchSpeak Designer Beta CRM</x:v>
      </x:c>
      <x:c r="D1" s="4" t="str">
        <x:v>StitchSpeak Designer Beta CRM</x:v>
      </x:c>
      <x:c r="E1" s="4" t="str">
        <x:v>StitchSpeak Designer Beta CRM</x:v>
      </x:c>
      <x:c r="F1" s="4" t="str">
        <x:v>StitchSpeak Designer Beta CRM</x:v>
      </x:c>
      <x:c r="G1" s="4" t="str">
        <x:v>StitchSpeak Designer Beta CRM</x:v>
      </x:c>
      <x:c r="H1" s="4" t="str">
        <x:v>StitchSpeak Designer Beta CRM</x:v>
      </x:c>
      <x:c r="I1" s="4" t="str">
        <x:v>StitchSpeak Designer Beta CRM</x:v>
      </x:c>
      <x:c r="J1" s="4" t="str">
        <x:v>StitchSpeak Designer Beta CRM</x:v>
      </x:c>
      <x:c r="K1" s="4" t="str">
        <x:v>StitchSpeak Designer Beta CRM</x:v>
      </x:c>
      <x:c r="L1" s="4" t="str">
        <x:v>StitchSpeak Designer Beta CRM</x:v>
      </x:c>
      <x:c r="M1" s="4" t="str">
        <x:v>StitchSpeak Designer Beta CRM</x:v>
      </x:c>
      <x:c r="N1" s="4" t="str">
        <x:v>StitchSpeak Designer Beta CRM</x:v>
      </x:c>
      <x:c r="O1" s="4" t="str">
        <x:v>StitchSpeak Designer Beta CRM</x:v>
      </x:c>
      <x:c r="P1" s="4" t="str">
        <x:v>StitchSpeak Designer Beta CRM</x:v>
      </x:c>
      <x:c r="Q1" s="4" t="str">
        <x:v>StitchSpeak Designer Beta CRM</x:v>
      </x:c>
      <x:c r="R1" s="4" t="str">
        <x:v>StitchSpeak Designer Beta CRM</x:v>
      </x:c>
      <x:c r="S1" s="4" t="str">
        <x:v>StitchSpeak Designer Beta CRM</x:v>
      </x:c>
      <x:c r="T1" s="4" t="str">
        <x:v>StitchSpeak Designer Beta CRM</x:v>
      </x:c>
      <x:c r="U1" s="4" t="str">
        <x:v>StitchSpeak Designer Beta CRM</x:v>
      </x:c>
      <x:c r="V1" s="4" t="str">
        <x:v>StitchSpeak Designer Beta CRM</x:v>
      </x:c>
      <x:c r="W1" s="4" t="str">
        <x:v>StitchSpeak Designer Beta CRM</x:v>
      </x:c>
      <x:c r="X1" s="4" t="str">
        <x:v>StitchSpeak Designer Beta CRM</x:v>
      </x:c>
      <x:c r="Y1" s="4" t="str">
        <x:v>StitchSpeak Designer Beta CRM</x:v>
      </x:c>
      <x:c r="Z1" s="4" t="str">
        <x:v>StitchSpeak Designer Beta CRM</x:v>
      </x:c>
      <x:c r="AA1" s="4" t="str">
        <x:v>StitchSpeak Designer Beta CRM</x:v>
      </x:c>
      <x:c r="AB1" s="4" t="str">
        <x:v>StitchSpeak Designer Beta CRM</x:v>
      </x:c>
      <x:c r="AC1" s="4" t="str">
        <x:v>StitchSpeak Designer Beta CRM</x:v>
      </x:c>
      <x:c r="AD1" s="4" t="str">
        <x:v>StitchSpeak Designer Beta CRM</x:v>
      </x:c>
      <x:c r="AE1" s="4" t="str">
        <x:v>StitchSpeak Designer Beta CRM</x:v>
      </x:c>
      <x:c r="AF1" s="4" t="str">
        <x:v>StitchSpeak Designer Beta CRM</x:v>
      </x:c>
      <x:c r="AG1" s="4" t="str">
        <x:v>StitchSpeak Designer Beta CRM</x:v>
      </x:c>
      <x:c r="AH1" s="4" t="str">
        <x:v>StitchSpeak Designer Beta CRM</x:v>
      </x:c>
      <x:c r="AI1" s="4" t="str">
        <x:v>StitchSpeak Designer Beta CRM</x:v>
      </x:c>
    </x:row>
    <x:row r="2" ht="15" hidden="0" customHeight="1">
      <x:c r="A2" s="8" t="str">
        <x:v>Track designer prospects from outreach through upload, translation, proof, referral, and paid conversion.</x:v>
      </x:c>
      <x:c r="B2" s="8" t="str">
        <x:v>Track designer prospects from outreach through upload, translation, proof, referral, and paid conversion.</x:v>
      </x:c>
      <x:c r="C2" s="8" t="str">
        <x:v>Track designer prospects from outreach through upload, translation, proof, referral, and paid conversion.</x:v>
      </x:c>
      <x:c r="D2" s="8" t="str">
        <x:v>Track designer prospects from outreach through upload, translation, proof, referral, and paid conversion.</x:v>
      </x:c>
      <x:c r="E2" s="8" t="str">
        <x:v>Track designer prospects from outreach through upload, translation, proof, referral, and paid conversion.</x:v>
      </x:c>
      <x:c r="F2" s="8" t="str">
        <x:v>Track designer prospects from outreach through upload, translation, proof, referral, and paid conversion.</x:v>
      </x:c>
      <x:c r="G2" s="8" t="str">
        <x:v>Track designer prospects from outreach through upload, translation, proof, referral, and paid conversion.</x:v>
      </x:c>
      <x:c r="H2" s="8" t="str">
        <x:v>Track designer prospects from outreach through upload, translation, proof, referral, and paid conversion.</x:v>
      </x:c>
    </x:row>
    <x:row r="3"/>
    <x:row r="4" ht="26.399999618530273" hidden="0" customHeight="1">
      <x:c r="A4" s="20" t="str">
        <x:v>Lead ID</x:v>
      </x:c>
      <x:c r="B4" s="21" t="str">
        <x:v>Designer Name</x:v>
      </x:c>
      <x:c r="C4" s="21" t="str">
        <x:v>Contact Name</x:v>
      </x:c>
      <x:c r="D4" s="21" t="str">
        <x:v>Instagram</x:v>
      </x:c>
      <x:c r="E4" s="21" t="str">
        <x:v>Email</x:v>
      </x:c>
      <x:c r="F4" s="21" t="str">
        <x:v>Source</x:v>
      </x:c>
      <x:c r="G4" s="21" t="str">
        <x:v>Audience Size</x:v>
      </x:c>
      <x:c r="H4" s="21" t="str">
        <x:v>Selling Platform</x:v>
      </x:c>
      <x:c r="I4" s="21" t="str">
        <x:v>Pattern Candidate</x:v>
      </x:c>
      <x:c r="J4" s="21" t="str">
        <x:v>Target Market / Language</x:v>
      </x:c>
      <x:c r="K4" s="21" t="str">
        <x:v>Pattern Strength (0-5)</x:v>
      </x:c>
      <x:c r="L4" s="21" t="str">
        <x:v>Audience Strength (0-5)</x:v>
      </x:c>
      <x:c r="M4" s="21" t="str">
        <x:v>Owns Rights?</x:v>
      </x:c>
      <x:c r="N4" s="21" t="str">
        <x:v>Release Plan?</x:v>
      </x:c>
      <x:c r="O4" s="21" t="str">
        <x:v>Can Review?</x:v>
      </x:c>
      <x:c r="P4" s="21" t="str">
        <x:v>Public Proof?</x:v>
      </x:c>
      <x:c r="Q4" s="21" t="str">
        <x:v>Best-fit Score</x:v>
      </x:c>
      <x:c r="R4" s="21" t="str">
        <x:v>Qualification</x:v>
      </x:c>
      <x:c r="S4" s="21" t="str">
        <x:v>Status</x:v>
      </x:c>
      <x:c r="T4" s="21" t="str">
        <x:v>DM Sent Date</x:v>
      </x:c>
      <x:c r="U4" s="21" t="str">
        <x:v>Replied Date</x:v>
      </x:c>
      <x:c r="V4" s="21" t="str">
        <x:v>Applied Date</x:v>
      </x:c>
      <x:c r="W4" s="21" t="str">
        <x:v>Approved Date</x:v>
      </x:c>
      <x:c r="X4" s="21" t="str">
        <x:v>First Upload Date</x:v>
      </x:c>
      <x:c r="Y4" s="21" t="str">
        <x:v>First Translation Date</x:v>
      </x:c>
      <x:c r="Z4" s="21" t="str">
        <x:v>Public Proof Date</x:v>
      </x:c>
      <x:c r="AA4" s="21" t="str">
        <x:v>Referral Sent Date</x:v>
      </x:c>
      <x:c r="AB4" s="21" t="str">
        <x:v>Referred Leads</x:v>
      </x:c>
      <x:c r="AC4" s="21" t="str">
        <x:v>Paid Conversion?</x:v>
      </x:c>
      <x:c r="AD4" s="21" t="str">
        <x:v>Notes</x:v>
      </x:c>
      <x:c r="AE4" s="21" t="str">
        <x:v>Next Action</x:v>
      </x:c>
      <x:c r="AF4" s="21" t="str">
        <x:v>Next Action Date</x:v>
      </x:c>
      <x:c r="AG4" s="21" t="str">
        <x:v>Days Since Last Touch</x:v>
      </x:c>
      <x:c r="AH4" s="21" t="str">
        <x:v>UTM / Link</x:v>
      </x:c>
      <x:c r="AI4" s="22" t="str">
        <x:v>Source URL</x:v>
      </x:c>
    </x:row>
    <x:row r="5" ht="15" hidden="0" customHeight="1">
      <x:c r="A5" s="28" t="str">
        <x:f>IF($B5&lt;&gt;"","SS-"&amp;TEXT(ROW()-4,"000"),"")</x:f>
      </x:c>
      <x:c r="B5" s="43"/>
      <x:c r="C5" s="43"/>
      <x:c r="D5" s="43"/>
      <x:c r="E5" s="43"/>
      <x:c r="F5" s="43"/>
      <x:c r="G5" s="44"/>
      <x:c r="H5" s="43"/>
      <x:c r="I5" s="45"/>
      <x:c r="J5" s="45"/>
      <x:c r="K5" s="46"/>
      <x:c r="L5" s="46"/>
      <x:c r="M5" s="43"/>
      <x:c r="N5" s="43"/>
      <x:c r="O5" s="43"/>
      <x:c r="P5" s="43"/>
      <x:c r="Q5" s="28" t="str">
        <x:f>IF($B5="","",SUM($K5:$L5)+IF($M5="Yes",3,0)+IF($N5="Yes",3,0)+IF($O5="Yes",2,0)+IF($P5="Yes",2,0))</x:f>
      </x:c>
      <x:c r="R5" s="28" t="str">
        <x:f>IF($Q5="","",IF($Q5&gt;=15,"Qualified",IF($Q5&gt;=10,"Maybe","Low fit")))</x:f>
      </x:c>
      <x:c r="S5" s="43"/>
      <x:c r="T5" s="55"/>
      <x:c r="U5" s="55"/>
      <x:c r="V5" s="55"/>
      <x:c r="W5" s="55"/>
      <x:c r="X5" s="55"/>
      <x:c r="Y5" s="55"/>
      <x:c r="Z5" s="55"/>
      <x:c r="AA5" s="55"/>
      <x:c r="AB5" s="44"/>
      <x:c r="AC5" s="43"/>
      <x:c r="AD5" s="45"/>
      <x:c r="AE5" s="45"/>
      <x:c r="AF5" s="55"/>
      <x:c r="AG5" s="31" t="str">
        <x:f>IF($B5="","",IF(MAX($T5:$AA5)=0,"",TODAY()-MAX($T5:$AA5)))</x:f>
      </x:c>
      <x:c r="AH5" s="43"/>
      <x:c r="AI5" s="43"/>
    </x:row>
    <x:row r="6" ht="15" hidden="0" customHeight="1">
      <x:c r="A6" s="29" t="str">
        <x:f>IF($B6&lt;&gt;"","SS-"&amp;TEXT(ROW()-4,"000"),"")</x:f>
      </x:c>
      <x:c r="B6" s="47"/>
      <x:c r="C6" s="47"/>
      <x:c r="D6" s="47"/>
      <x:c r="E6" s="47"/>
      <x:c r="F6" s="47"/>
      <x:c r="G6" s="48"/>
      <x:c r="H6" s="47"/>
      <x:c r="I6" s="49"/>
      <x:c r="J6" s="49"/>
      <x:c r="K6" s="50"/>
      <x:c r="L6" s="50"/>
      <x:c r="M6" s="47"/>
      <x:c r="N6" s="47"/>
      <x:c r="O6" s="47"/>
      <x:c r="P6" s="47"/>
      <x:c r="Q6" s="29" t="str">
        <x:f>IF($B6="","",SUM($K6:$L6)+IF($M6="Yes",3,0)+IF($N6="Yes",3,0)+IF($O6="Yes",2,0)+IF($P6="Yes",2,0))</x:f>
      </x:c>
      <x:c r="R6" s="29" t="str">
        <x:f>IF($Q6="","",IF($Q6&gt;=15,"Qualified",IF($Q6&gt;=10,"Maybe","Low fit")))</x:f>
      </x:c>
      <x:c r="S6" s="47"/>
      <x:c r="T6" s="56"/>
      <x:c r="U6" s="56"/>
      <x:c r="V6" s="56"/>
      <x:c r="W6" s="56"/>
      <x:c r="X6" s="56"/>
      <x:c r="Y6" s="56"/>
      <x:c r="Z6" s="56"/>
      <x:c r="AA6" s="56"/>
      <x:c r="AB6" s="48"/>
      <x:c r="AC6" s="47"/>
      <x:c r="AD6" s="49"/>
      <x:c r="AE6" s="49"/>
      <x:c r="AF6" s="56"/>
      <x:c r="AG6" s="32" t="str">
        <x:f>IF($B6="","",IF(MAX($T6:$AA6)=0,"",TODAY()-MAX($T6:$AA6)))</x:f>
      </x:c>
      <x:c r="AH6" s="47"/>
      <x:c r="AI6" s="47"/>
    </x:row>
    <x:row r="7" ht="15" hidden="0" customHeight="1">
      <x:c r="A7" s="29" t="str">
        <x:f>IF($B7&lt;&gt;"","SS-"&amp;TEXT(ROW()-4,"000"),"")</x:f>
      </x:c>
      <x:c r="B7" s="47"/>
      <x:c r="C7" s="47"/>
      <x:c r="D7" s="47"/>
      <x:c r="E7" s="47"/>
      <x:c r="F7" s="47"/>
      <x:c r="G7" s="48"/>
      <x:c r="H7" s="47"/>
      <x:c r="I7" s="49"/>
      <x:c r="J7" s="49"/>
      <x:c r="K7" s="50"/>
      <x:c r="L7" s="50"/>
      <x:c r="M7" s="47"/>
      <x:c r="N7" s="47"/>
      <x:c r="O7" s="47"/>
      <x:c r="P7" s="47"/>
      <x:c r="Q7" s="29" t="str">
        <x:f>IF($B7="","",SUM($K7:$L7)+IF($M7="Yes",3,0)+IF($N7="Yes",3,0)+IF($O7="Yes",2,0)+IF($P7="Yes",2,0))</x:f>
      </x:c>
      <x:c r="R7" s="29" t="str">
        <x:f>IF($Q7="","",IF($Q7&gt;=15,"Qualified",IF($Q7&gt;=10,"Maybe","Low fit")))</x:f>
      </x:c>
      <x:c r="S7" s="47"/>
      <x:c r="T7" s="56"/>
      <x:c r="U7" s="56"/>
      <x:c r="V7" s="56"/>
      <x:c r="W7" s="56"/>
      <x:c r="X7" s="56"/>
      <x:c r="Y7" s="56"/>
      <x:c r="Z7" s="56"/>
      <x:c r="AA7" s="56"/>
      <x:c r="AB7" s="48"/>
      <x:c r="AC7" s="47"/>
      <x:c r="AD7" s="49"/>
      <x:c r="AE7" s="49"/>
      <x:c r="AF7" s="56"/>
      <x:c r="AG7" s="32" t="str">
        <x:f>IF($B7="","",IF(MAX($T7:$AA7)=0,"",TODAY()-MAX($T7:$AA7)))</x:f>
      </x:c>
      <x:c r="AH7" s="47"/>
      <x:c r="AI7" s="47"/>
    </x:row>
    <x:row r="8" ht="15" hidden="0" customHeight="1">
      <x:c r="A8" s="29" t="str">
        <x:f>IF($B8&lt;&gt;"","SS-"&amp;TEXT(ROW()-4,"000"),"")</x:f>
      </x:c>
      <x:c r="B8" s="47"/>
      <x:c r="C8" s="47"/>
      <x:c r="D8" s="47"/>
      <x:c r="E8" s="47"/>
      <x:c r="F8" s="47"/>
      <x:c r="G8" s="48"/>
      <x:c r="H8" s="47"/>
      <x:c r="I8" s="49"/>
      <x:c r="J8" s="49"/>
      <x:c r="K8" s="50"/>
      <x:c r="L8" s="50"/>
      <x:c r="M8" s="47"/>
      <x:c r="N8" s="47"/>
      <x:c r="O8" s="47"/>
      <x:c r="P8" s="47"/>
      <x:c r="Q8" s="29" t="str">
        <x:f>IF($B8="","",SUM($K8:$L8)+IF($M8="Yes",3,0)+IF($N8="Yes",3,0)+IF($O8="Yes",2,0)+IF($P8="Yes",2,0))</x:f>
      </x:c>
      <x:c r="R8" s="29" t="str">
        <x:f>IF($Q8="","",IF($Q8&gt;=15,"Qualified",IF($Q8&gt;=10,"Maybe","Low fit")))</x:f>
      </x:c>
      <x:c r="S8" s="47"/>
      <x:c r="T8" s="56"/>
      <x:c r="U8" s="56"/>
      <x:c r="V8" s="56"/>
      <x:c r="W8" s="56"/>
      <x:c r="X8" s="56"/>
      <x:c r="Y8" s="56"/>
      <x:c r="Z8" s="56"/>
      <x:c r="AA8" s="56"/>
      <x:c r="AB8" s="48"/>
      <x:c r="AC8" s="47"/>
      <x:c r="AD8" s="49"/>
      <x:c r="AE8" s="49"/>
      <x:c r="AF8" s="56"/>
      <x:c r="AG8" s="32" t="str">
        <x:f>IF($B8="","",IF(MAX($T8:$AA8)=0,"",TODAY()-MAX($T8:$AA8)))</x:f>
      </x:c>
      <x:c r="AH8" s="47"/>
      <x:c r="AI8" s="47"/>
    </x:row>
    <x:row r="9" ht="15" hidden="0" customHeight="1">
      <x:c r="A9" s="29" t="str">
        <x:f>IF($B9&lt;&gt;"","SS-"&amp;TEXT(ROW()-4,"000"),"")</x:f>
      </x:c>
      <x:c r="B9" s="47"/>
      <x:c r="C9" s="47"/>
      <x:c r="D9" s="47"/>
      <x:c r="E9" s="47"/>
      <x:c r="F9" s="47"/>
      <x:c r="G9" s="48"/>
      <x:c r="H9" s="47"/>
      <x:c r="I9" s="49"/>
      <x:c r="J9" s="49"/>
      <x:c r="K9" s="50"/>
      <x:c r="L9" s="50"/>
      <x:c r="M9" s="47"/>
      <x:c r="N9" s="47"/>
      <x:c r="O9" s="47"/>
      <x:c r="P9" s="47"/>
      <x:c r="Q9" s="29" t="str">
        <x:f>IF($B9="","",SUM($K9:$L9)+IF($M9="Yes",3,0)+IF($N9="Yes",3,0)+IF($O9="Yes",2,0)+IF($P9="Yes",2,0))</x:f>
      </x:c>
      <x:c r="R9" s="29" t="str">
        <x:f>IF($Q9="","",IF($Q9&gt;=15,"Qualified",IF($Q9&gt;=10,"Maybe","Low fit")))</x:f>
      </x:c>
      <x:c r="S9" s="47"/>
      <x:c r="T9" s="56"/>
      <x:c r="U9" s="56"/>
      <x:c r="V9" s="56"/>
      <x:c r="W9" s="56"/>
      <x:c r="X9" s="56"/>
      <x:c r="Y9" s="56"/>
      <x:c r="Z9" s="56"/>
      <x:c r="AA9" s="56"/>
      <x:c r="AB9" s="48"/>
      <x:c r="AC9" s="47"/>
      <x:c r="AD9" s="49"/>
      <x:c r="AE9" s="49"/>
      <x:c r="AF9" s="56"/>
      <x:c r="AG9" s="32" t="str">
        <x:f>IF($B9="","",IF(MAX($T9:$AA9)=0,"",TODAY()-MAX($T9:$AA9)))</x:f>
      </x:c>
      <x:c r="AH9" s="47"/>
      <x:c r="AI9" s="47"/>
    </x:row>
    <x:row r="10" ht="15" hidden="0" customHeight="1">
      <x:c r="A10" s="29" t="str">
        <x:f>IF($B10&lt;&gt;"","SS-"&amp;TEXT(ROW()-4,"000"),"")</x:f>
      </x:c>
      <x:c r="B10" s="47"/>
      <x:c r="C10" s="47"/>
      <x:c r="D10" s="47"/>
      <x:c r="E10" s="47"/>
      <x:c r="F10" s="47"/>
      <x:c r="G10" s="48"/>
      <x:c r="H10" s="47"/>
      <x:c r="I10" s="49"/>
      <x:c r="J10" s="49"/>
      <x:c r="K10" s="50"/>
      <x:c r="L10" s="50"/>
      <x:c r="M10" s="47"/>
      <x:c r="N10" s="47"/>
      <x:c r="O10" s="47"/>
      <x:c r="P10" s="47"/>
      <x:c r="Q10" s="29" t="str">
        <x:f>IF($B10="","",SUM($K10:$L10)+IF($M10="Yes",3,0)+IF($N10="Yes",3,0)+IF($O10="Yes",2,0)+IF($P10="Yes",2,0))</x:f>
      </x:c>
      <x:c r="R10" s="29" t="str">
        <x:f>IF($Q10="","",IF($Q10&gt;=15,"Qualified",IF($Q10&gt;=10,"Maybe","Low fit")))</x:f>
      </x:c>
      <x:c r="S10" s="47"/>
      <x:c r="T10" s="56"/>
      <x:c r="U10" s="56"/>
      <x:c r="V10" s="56"/>
      <x:c r="W10" s="56"/>
      <x:c r="X10" s="56"/>
      <x:c r="Y10" s="56"/>
      <x:c r="Z10" s="56"/>
      <x:c r="AA10" s="56"/>
      <x:c r="AB10" s="48"/>
      <x:c r="AC10" s="47"/>
      <x:c r="AD10" s="49"/>
      <x:c r="AE10" s="49"/>
      <x:c r="AF10" s="56"/>
      <x:c r="AG10" s="32" t="str">
        <x:f>IF($B10="","",IF(MAX($T10:$AA10)=0,"",TODAY()-MAX($T10:$AA10)))</x:f>
      </x:c>
      <x:c r="AH10" s="47"/>
      <x:c r="AI10" s="47"/>
    </x:row>
    <x:row r="11" ht="15" hidden="0" customHeight="1">
      <x:c r="A11" s="29" t="str">
        <x:f>IF($B11&lt;&gt;"","SS-"&amp;TEXT(ROW()-4,"000"),"")</x:f>
      </x:c>
      <x:c r="B11" s="47"/>
      <x:c r="C11" s="47"/>
      <x:c r="D11" s="47"/>
      <x:c r="E11" s="47"/>
      <x:c r="F11" s="47"/>
      <x:c r="G11" s="48"/>
      <x:c r="H11" s="47"/>
      <x:c r="I11" s="49"/>
      <x:c r="J11" s="49"/>
      <x:c r="K11" s="50"/>
      <x:c r="L11" s="50"/>
      <x:c r="M11" s="47"/>
      <x:c r="N11" s="47"/>
      <x:c r="O11" s="47"/>
      <x:c r="P11" s="47"/>
      <x:c r="Q11" s="29" t="str">
        <x:f>IF($B11="","",SUM($K11:$L11)+IF($M11="Yes",3,0)+IF($N11="Yes",3,0)+IF($O11="Yes",2,0)+IF($P11="Yes",2,0))</x:f>
      </x:c>
      <x:c r="R11" s="29" t="str">
        <x:f>IF($Q11="","",IF($Q11&gt;=15,"Qualified",IF($Q11&gt;=10,"Maybe","Low fit")))</x:f>
      </x:c>
      <x:c r="S11" s="47"/>
      <x:c r="T11" s="56"/>
      <x:c r="U11" s="56"/>
      <x:c r="V11" s="56"/>
      <x:c r="W11" s="56"/>
      <x:c r="X11" s="56"/>
      <x:c r="Y11" s="56"/>
      <x:c r="Z11" s="56"/>
      <x:c r="AA11" s="56"/>
      <x:c r="AB11" s="48"/>
      <x:c r="AC11" s="47"/>
      <x:c r="AD11" s="49"/>
      <x:c r="AE11" s="49"/>
      <x:c r="AF11" s="56"/>
      <x:c r="AG11" s="32" t="str">
        <x:f>IF($B11="","",IF(MAX($T11:$AA11)=0,"",TODAY()-MAX($T11:$AA11)))</x:f>
      </x:c>
      <x:c r="AH11" s="47"/>
      <x:c r="AI11" s="47"/>
    </x:row>
    <x:row r="12" ht="15" hidden="0" customHeight="1">
      <x:c r="A12" s="29" t="str">
        <x:f>IF($B12&lt;&gt;"","SS-"&amp;TEXT(ROW()-4,"000"),"")</x:f>
      </x:c>
      <x:c r="B12" s="47"/>
      <x:c r="C12" s="47"/>
      <x:c r="D12" s="47"/>
      <x:c r="E12" s="47"/>
      <x:c r="F12" s="47"/>
      <x:c r="G12" s="48"/>
      <x:c r="H12" s="47"/>
      <x:c r="I12" s="49"/>
      <x:c r="J12" s="49"/>
      <x:c r="K12" s="50"/>
      <x:c r="L12" s="50"/>
      <x:c r="M12" s="47"/>
      <x:c r="N12" s="47"/>
      <x:c r="O12" s="47"/>
      <x:c r="P12" s="47"/>
      <x:c r="Q12" s="29" t="str">
        <x:f>IF($B12="","",SUM($K12:$L12)+IF($M12="Yes",3,0)+IF($N12="Yes",3,0)+IF($O12="Yes",2,0)+IF($P12="Yes",2,0))</x:f>
      </x:c>
      <x:c r="R12" s="29" t="str">
        <x:f>IF($Q12="","",IF($Q12&gt;=15,"Qualified",IF($Q12&gt;=10,"Maybe","Low fit")))</x:f>
      </x:c>
      <x:c r="S12" s="47"/>
      <x:c r="T12" s="56"/>
      <x:c r="U12" s="56"/>
      <x:c r="V12" s="56"/>
      <x:c r="W12" s="56"/>
      <x:c r="X12" s="56"/>
      <x:c r="Y12" s="56"/>
      <x:c r="Z12" s="56"/>
      <x:c r="AA12" s="56"/>
      <x:c r="AB12" s="48"/>
      <x:c r="AC12" s="47"/>
      <x:c r="AD12" s="49"/>
      <x:c r="AE12" s="49"/>
      <x:c r="AF12" s="56"/>
      <x:c r="AG12" s="32" t="str">
        <x:f>IF($B12="","",IF(MAX($T12:$AA12)=0,"",TODAY()-MAX($T12:$AA12)))</x:f>
      </x:c>
      <x:c r="AH12" s="47"/>
      <x:c r="AI12" s="47"/>
    </x:row>
    <x:row r="13" ht="15" hidden="0" customHeight="1">
      <x:c r="A13" s="29" t="str">
        <x:f>IF($B13&lt;&gt;"","SS-"&amp;TEXT(ROW()-4,"000"),"")</x:f>
      </x:c>
      <x:c r="B13" s="47"/>
      <x:c r="C13" s="47"/>
      <x:c r="D13" s="47"/>
      <x:c r="E13" s="47"/>
      <x:c r="F13" s="47"/>
      <x:c r="G13" s="48"/>
      <x:c r="H13" s="47"/>
      <x:c r="I13" s="49"/>
      <x:c r="J13" s="49"/>
      <x:c r="K13" s="50"/>
      <x:c r="L13" s="50"/>
      <x:c r="M13" s="47"/>
      <x:c r="N13" s="47"/>
      <x:c r="O13" s="47"/>
      <x:c r="P13" s="47"/>
      <x:c r="Q13" s="29" t="str">
        <x:f>IF($B13="","",SUM($K13:$L13)+IF($M13="Yes",3,0)+IF($N13="Yes",3,0)+IF($O13="Yes",2,0)+IF($P13="Yes",2,0))</x:f>
      </x:c>
      <x:c r="R13" s="29" t="str">
        <x:f>IF($Q13="","",IF($Q13&gt;=15,"Qualified",IF($Q13&gt;=10,"Maybe","Low fit")))</x:f>
      </x:c>
      <x:c r="S13" s="47"/>
      <x:c r="T13" s="56"/>
      <x:c r="U13" s="56"/>
      <x:c r="V13" s="56"/>
      <x:c r="W13" s="56"/>
      <x:c r="X13" s="56"/>
      <x:c r="Y13" s="56"/>
      <x:c r="Z13" s="56"/>
      <x:c r="AA13" s="56"/>
      <x:c r="AB13" s="48"/>
      <x:c r="AC13" s="47"/>
      <x:c r="AD13" s="49"/>
      <x:c r="AE13" s="49"/>
      <x:c r="AF13" s="56"/>
      <x:c r="AG13" s="32" t="str">
        <x:f>IF($B13="","",IF(MAX($T13:$AA13)=0,"",TODAY()-MAX($T13:$AA13)))</x:f>
      </x:c>
      <x:c r="AH13" s="47"/>
      <x:c r="AI13" s="47"/>
    </x:row>
    <x:row r="14" ht="15" hidden="0" customHeight="1">
      <x:c r="A14" s="29" t="str">
        <x:f>IF($B14&lt;&gt;"","SS-"&amp;TEXT(ROW()-4,"000"),"")</x:f>
      </x:c>
      <x:c r="B14" s="47"/>
      <x:c r="C14" s="47"/>
      <x:c r="D14" s="47"/>
      <x:c r="E14" s="47"/>
      <x:c r="F14" s="47"/>
      <x:c r="G14" s="48"/>
      <x:c r="H14" s="47"/>
      <x:c r="I14" s="49"/>
      <x:c r="J14" s="49"/>
      <x:c r="K14" s="50"/>
      <x:c r="L14" s="50"/>
      <x:c r="M14" s="47"/>
      <x:c r="N14" s="47"/>
      <x:c r="O14" s="47"/>
      <x:c r="P14" s="47"/>
      <x:c r="Q14" s="29" t="str">
        <x:f>IF($B14="","",SUM($K14:$L14)+IF($M14="Yes",3,0)+IF($N14="Yes",3,0)+IF($O14="Yes",2,0)+IF($P14="Yes",2,0))</x:f>
      </x:c>
      <x:c r="R14" s="29" t="str">
        <x:f>IF($Q14="","",IF($Q14&gt;=15,"Qualified",IF($Q14&gt;=10,"Maybe","Low fit")))</x:f>
      </x:c>
      <x:c r="S14" s="47"/>
      <x:c r="T14" s="56"/>
      <x:c r="U14" s="56"/>
      <x:c r="V14" s="56"/>
      <x:c r="W14" s="56"/>
      <x:c r="X14" s="56"/>
      <x:c r="Y14" s="56"/>
      <x:c r="Z14" s="56"/>
      <x:c r="AA14" s="56"/>
      <x:c r="AB14" s="48"/>
      <x:c r="AC14" s="47"/>
      <x:c r="AD14" s="49"/>
      <x:c r="AE14" s="49"/>
      <x:c r="AF14" s="56"/>
      <x:c r="AG14" s="32" t="str">
        <x:f>IF($B14="","",IF(MAX($T14:$AA14)=0,"",TODAY()-MAX($T14:$AA14)))</x:f>
      </x:c>
      <x:c r="AH14" s="47"/>
      <x:c r="AI14" s="47"/>
    </x:row>
    <x:row r="15" ht="15" hidden="0" customHeight="1">
      <x:c r="A15" s="29" t="str">
        <x:f>IF($B15&lt;&gt;"","SS-"&amp;TEXT(ROW()-4,"000"),"")</x:f>
      </x:c>
      <x:c r="B15" s="47"/>
      <x:c r="C15" s="47"/>
      <x:c r="D15" s="47"/>
      <x:c r="E15" s="47"/>
      <x:c r="F15" s="47"/>
      <x:c r="G15" s="48"/>
      <x:c r="H15" s="47"/>
      <x:c r="I15" s="49"/>
      <x:c r="J15" s="49"/>
      <x:c r="K15" s="50"/>
      <x:c r="L15" s="50"/>
      <x:c r="M15" s="47"/>
      <x:c r="N15" s="47"/>
      <x:c r="O15" s="47"/>
      <x:c r="P15" s="47"/>
      <x:c r="Q15" s="29" t="str">
        <x:f>IF($B15="","",SUM($K15:$L15)+IF($M15="Yes",3,0)+IF($N15="Yes",3,0)+IF($O15="Yes",2,0)+IF($P15="Yes",2,0))</x:f>
      </x:c>
      <x:c r="R15" s="29" t="str">
        <x:f>IF($Q15="","",IF($Q15&gt;=15,"Qualified",IF($Q15&gt;=10,"Maybe","Low fit")))</x:f>
      </x:c>
      <x:c r="S15" s="47"/>
      <x:c r="T15" s="56"/>
      <x:c r="U15" s="56"/>
      <x:c r="V15" s="56"/>
      <x:c r="W15" s="56"/>
      <x:c r="X15" s="56"/>
      <x:c r="Y15" s="56"/>
      <x:c r="Z15" s="56"/>
      <x:c r="AA15" s="56"/>
      <x:c r="AB15" s="48"/>
      <x:c r="AC15" s="47"/>
      <x:c r="AD15" s="49"/>
      <x:c r="AE15" s="49"/>
      <x:c r="AF15" s="56"/>
      <x:c r="AG15" s="32" t="str">
        <x:f>IF($B15="","",IF(MAX($T15:$AA15)=0,"",TODAY()-MAX($T15:$AA15)))</x:f>
      </x:c>
      <x:c r="AH15" s="47"/>
      <x:c r="AI15" s="47"/>
    </x:row>
    <x:row r="16" ht="15" hidden="0" customHeight="1">
      <x:c r="A16" s="29" t="str">
        <x:f>IF($B16&lt;&gt;"","SS-"&amp;TEXT(ROW()-4,"000"),"")</x:f>
      </x:c>
      <x:c r="B16" s="47"/>
      <x:c r="C16" s="47"/>
      <x:c r="D16" s="47"/>
      <x:c r="E16" s="47"/>
      <x:c r="F16" s="47"/>
      <x:c r="G16" s="48"/>
      <x:c r="H16" s="47"/>
      <x:c r="I16" s="49"/>
      <x:c r="J16" s="49"/>
      <x:c r="K16" s="50"/>
      <x:c r="L16" s="50"/>
      <x:c r="M16" s="47"/>
      <x:c r="N16" s="47"/>
      <x:c r="O16" s="47"/>
      <x:c r="P16" s="47"/>
      <x:c r="Q16" s="29" t="str">
        <x:f>IF($B16="","",SUM($K16:$L16)+IF($M16="Yes",3,0)+IF($N16="Yes",3,0)+IF($O16="Yes",2,0)+IF($P16="Yes",2,0))</x:f>
      </x:c>
      <x:c r="R16" s="29" t="str">
        <x:f>IF($Q16="","",IF($Q16&gt;=15,"Qualified",IF($Q16&gt;=10,"Maybe","Low fit")))</x:f>
      </x:c>
      <x:c r="S16" s="47"/>
      <x:c r="T16" s="56"/>
      <x:c r="U16" s="56"/>
      <x:c r="V16" s="56"/>
      <x:c r="W16" s="56"/>
      <x:c r="X16" s="56"/>
      <x:c r="Y16" s="56"/>
      <x:c r="Z16" s="56"/>
      <x:c r="AA16" s="56"/>
      <x:c r="AB16" s="48"/>
      <x:c r="AC16" s="47"/>
      <x:c r="AD16" s="49"/>
      <x:c r="AE16" s="49"/>
      <x:c r="AF16" s="56"/>
      <x:c r="AG16" s="32" t="str">
        <x:f>IF($B16="","",IF(MAX($T16:$AA16)=0,"",TODAY()-MAX($T16:$AA16)))</x:f>
      </x:c>
      <x:c r="AH16" s="47"/>
      <x:c r="AI16" s="47"/>
    </x:row>
    <x:row r="17" ht="15" hidden="0" customHeight="1">
      <x:c r="A17" s="29" t="str">
        <x:f>IF($B17&lt;&gt;"","SS-"&amp;TEXT(ROW()-4,"000"),"")</x:f>
      </x:c>
      <x:c r="B17" s="47"/>
      <x:c r="C17" s="47"/>
      <x:c r="D17" s="47"/>
      <x:c r="E17" s="47"/>
      <x:c r="F17" s="47"/>
      <x:c r="G17" s="48"/>
      <x:c r="H17" s="47"/>
      <x:c r="I17" s="49"/>
      <x:c r="J17" s="49"/>
      <x:c r="K17" s="50"/>
      <x:c r="L17" s="50"/>
      <x:c r="M17" s="47"/>
      <x:c r="N17" s="47"/>
      <x:c r="O17" s="47"/>
      <x:c r="P17" s="47"/>
      <x:c r="Q17" s="29" t="str">
        <x:f>IF($B17="","",SUM($K17:$L17)+IF($M17="Yes",3,0)+IF($N17="Yes",3,0)+IF($O17="Yes",2,0)+IF($P17="Yes",2,0))</x:f>
      </x:c>
      <x:c r="R17" s="29" t="str">
        <x:f>IF($Q17="","",IF($Q17&gt;=15,"Qualified",IF($Q17&gt;=10,"Maybe","Low fit")))</x:f>
      </x:c>
      <x:c r="S17" s="47"/>
      <x:c r="T17" s="56"/>
      <x:c r="U17" s="56"/>
      <x:c r="V17" s="56"/>
      <x:c r="W17" s="56"/>
      <x:c r="X17" s="56"/>
      <x:c r="Y17" s="56"/>
      <x:c r="Z17" s="56"/>
      <x:c r="AA17" s="56"/>
      <x:c r="AB17" s="48"/>
      <x:c r="AC17" s="47"/>
      <x:c r="AD17" s="49"/>
      <x:c r="AE17" s="49"/>
      <x:c r="AF17" s="56"/>
      <x:c r="AG17" s="32" t="str">
        <x:f>IF($B17="","",IF(MAX($T17:$AA17)=0,"",TODAY()-MAX($T17:$AA17)))</x:f>
      </x:c>
      <x:c r="AH17" s="47"/>
      <x:c r="AI17" s="47"/>
    </x:row>
    <x:row r="18" ht="15" hidden="0" customHeight="1">
      <x:c r="A18" s="29" t="str">
        <x:f>IF($B18&lt;&gt;"","SS-"&amp;TEXT(ROW()-4,"000"),"")</x:f>
      </x:c>
      <x:c r="B18" s="47"/>
      <x:c r="C18" s="47"/>
      <x:c r="D18" s="47"/>
      <x:c r="E18" s="47"/>
      <x:c r="F18" s="47"/>
      <x:c r="G18" s="48"/>
      <x:c r="H18" s="47"/>
      <x:c r="I18" s="49"/>
      <x:c r="J18" s="49"/>
      <x:c r="K18" s="50"/>
      <x:c r="L18" s="50"/>
      <x:c r="M18" s="47"/>
      <x:c r="N18" s="47"/>
      <x:c r="O18" s="47"/>
      <x:c r="P18" s="47"/>
      <x:c r="Q18" s="29" t="str">
        <x:f>IF($B18="","",SUM($K18:$L18)+IF($M18="Yes",3,0)+IF($N18="Yes",3,0)+IF($O18="Yes",2,0)+IF($P18="Yes",2,0))</x:f>
      </x:c>
      <x:c r="R18" s="29" t="str">
        <x:f>IF($Q18="","",IF($Q18&gt;=15,"Qualified",IF($Q18&gt;=10,"Maybe","Low fit")))</x:f>
      </x:c>
      <x:c r="S18" s="47"/>
      <x:c r="T18" s="56"/>
      <x:c r="U18" s="56"/>
      <x:c r="V18" s="56"/>
      <x:c r="W18" s="56"/>
      <x:c r="X18" s="56"/>
      <x:c r="Y18" s="56"/>
      <x:c r="Z18" s="56"/>
      <x:c r="AA18" s="56"/>
      <x:c r="AB18" s="48"/>
      <x:c r="AC18" s="47"/>
      <x:c r="AD18" s="49"/>
      <x:c r="AE18" s="49"/>
      <x:c r="AF18" s="56"/>
      <x:c r="AG18" s="32" t="str">
        <x:f>IF($B18="","",IF(MAX($T18:$AA18)=0,"",TODAY()-MAX($T18:$AA18)))</x:f>
      </x:c>
      <x:c r="AH18" s="47"/>
      <x:c r="AI18" s="47"/>
    </x:row>
    <x:row r="19" ht="15" hidden="0" customHeight="1">
      <x:c r="A19" s="29" t="str">
        <x:f>IF($B19&lt;&gt;"","SS-"&amp;TEXT(ROW()-4,"000"),"")</x:f>
      </x:c>
      <x:c r="B19" s="47"/>
      <x:c r="C19" s="47"/>
      <x:c r="D19" s="47"/>
      <x:c r="E19" s="47"/>
      <x:c r="F19" s="47"/>
      <x:c r="G19" s="48"/>
      <x:c r="H19" s="47"/>
      <x:c r="I19" s="49"/>
      <x:c r="J19" s="49"/>
      <x:c r="K19" s="50"/>
      <x:c r="L19" s="50"/>
      <x:c r="M19" s="47"/>
      <x:c r="N19" s="47"/>
      <x:c r="O19" s="47"/>
      <x:c r="P19" s="47"/>
      <x:c r="Q19" s="29" t="str">
        <x:f>IF($B19="","",SUM($K19:$L19)+IF($M19="Yes",3,0)+IF($N19="Yes",3,0)+IF($O19="Yes",2,0)+IF($P19="Yes",2,0))</x:f>
      </x:c>
      <x:c r="R19" s="29" t="str">
        <x:f>IF($Q19="","",IF($Q19&gt;=15,"Qualified",IF($Q19&gt;=10,"Maybe","Low fit")))</x:f>
      </x:c>
      <x:c r="S19" s="47"/>
      <x:c r="T19" s="56"/>
      <x:c r="U19" s="56"/>
      <x:c r="V19" s="56"/>
      <x:c r="W19" s="56"/>
      <x:c r="X19" s="56"/>
      <x:c r="Y19" s="56"/>
      <x:c r="Z19" s="56"/>
      <x:c r="AA19" s="56"/>
      <x:c r="AB19" s="48"/>
      <x:c r="AC19" s="47"/>
      <x:c r="AD19" s="49"/>
      <x:c r="AE19" s="49"/>
      <x:c r="AF19" s="56"/>
      <x:c r="AG19" s="32" t="str">
        <x:f>IF($B19="","",IF(MAX($T19:$AA19)=0,"",TODAY()-MAX($T19:$AA19)))</x:f>
      </x:c>
      <x:c r="AH19" s="47"/>
      <x:c r="AI19" s="47"/>
    </x:row>
    <x:row r="20" ht="15" hidden="0" customHeight="1">
      <x:c r="A20" s="29" t="str">
        <x:f>IF($B20&lt;&gt;"","SS-"&amp;TEXT(ROW()-4,"000"),"")</x:f>
      </x:c>
      <x:c r="B20" s="47"/>
      <x:c r="C20" s="47"/>
      <x:c r="D20" s="47"/>
      <x:c r="E20" s="47"/>
      <x:c r="F20" s="47"/>
      <x:c r="G20" s="48"/>
      <x:c r="H20" s="47"/>
      <x:c r="I20" s="49"/>
      <x:c r="J20" s="49"/>
      <x:c r="K20" s="50"/>
      <x:c r="L20" s="50"/>
      <x:c r="M20" s="47"/>
      <x:c r="N20" s="47"/>
      <x:c r="O20" s="47"/>
      <x:c r="P20" s="47"/>
      <x:c r="Q20" s="29" t="str">
        <x:f>IF($B20="","",SUM($K20:$L20)+IF($M20="Yes",3,0)+IF($N20="Yes",3,0)+IF($O20="Yes",2,0)+IF($P20="Yes",2,0))</x:f>
      </x:c>
      <x:c r="R20" s="29" t="str">
        <x:f>IF($Q20="","",IF($Q20&gt;=15,"Qualified",IF($Q20&gt;=10,"Maybe","Low fit")))</x:f>
      </x:c>
      <x:c r="S20" s="47"/>
      <x:c r="T20" s="56"/>
      <x:c r="U20" s="56"/>
      <x:c r="V20" s="56"/>
      <x:c r="W20" s="56"/>
      <x:c r="X20" s="56"/>
      <x:c r="Y20" s="56"/>
      <x:c r="Z20" s="56"/>
      <x:c r="AA20" s="56"/>
      <x:c r="AB20" s="48"/>
      <x:c r="AC20" s="47"/>
      <x:c r="AD20" s="49"/>
      <x:c r="AE20" s="49"/>
      <x:c r="AF20" s="56"/>
      <x:c r="AG20" s="32" t="str">
        <x:f>IF($B20="","",IF(MAX($T20:$AA20)=0,"",TODAY()-MAX($T20:$AA20)))</x:f>
      </x:c>
      <x:c r="AH20" s="47"/>
      <x:c r="AI20" s="47"/>
    </x:row>
    <x:row r="21" ht="15" hidden="0" customHeight="1">
      <x:c r="A21" s="29" t="str">
        <x:f>IF($B21&lt;&gt;"","SS-"&amp;TEXT(ROW()-4,"000"),"")</x:f>
      </x:c>
      <x:c r="B21" s="47"/>
      <x:c r="C21" s="47"/>
      <x:c r="D21" s="47"/>
      <x:c r="E21" s="47"/>
      <x:c r="F21" s="47"/>
      <x:c r="G21" s="48"/>
      <x:c r="H21" s="47"/>
      <x:c r="I21" s="49"/>
      <x:c r="J21" s="49"/>
      <x:c r="K21" s="50"/>
      <x:c r="L21" s="50"/>
      <x:c r="M21" s="47"/>
      <x:c r="N21" s="47"/>
      <x:c r="O21" s="47"/>
      <x:c r="P21" s="47"/>
      <x:c r="Q21" s="29" t="str">
        <x:f>IF($B21="","",SUM($K21:$L21)+IF($M21="Yes",3,0)+IF($N21="Yes",3,0)+IF($O21="Yes",2,0)+IF($P21="Yes",2,0))</x:f>
      </x:c>
      <x:c r="R21" s="29" t="str">
        <x:f>IF($Q21="","",IF($Q21&gt;=15,"Qualified",IF($Q21&gt;=10,"Maybe","Low fit")))</x:f>
      </x:c>
      <x:c r="S21" s="47"/>
      <x:c r="T21" s="56"/>
      <x:c r="U21" s="56"/>
      <x:c r="V21" s="56"/>
      <x:c r="W21" s="56"/>
      <x:c r="X21" s="56"/>
      <x:c r="Y21" s="56"/>
      <x:c r="Z21" s="56"/>
      <x:c r="AA21" s="56"/>
      <x:c r="AB21" s="48"/>
      <x:c r="AC21" s="47"/>
      <x:c r="AD21" s="49"/>
      <x:c r="AE21" s="49"/>
      <x:c r="AF21" s="56"/>
      <x:c r="AG21" s="32" t="str">
        <x:f>IF($B21="","",IF(MAX($T21:$AA21)=0,"",TODAY()-MAX($T21:$AA21)))</x:f>
      </x:c>
      <x:c r="AH21" s="47"/>
      <x:c r="AI21" s="47"/>
    </x:row>
    <x:row r="22" ht="15" hidden="0" customHeight="1">
      <x:c r="A22" s="29" t="str">
        <x:f>IF($B22&lt;&gt;"","SS-"&amp;TEXT(ROW()-4,"000"),"")</x:f>
      </x:c>
      <x:c r="B22" s="47"/>
      <x:c r="C22" s="47"/>
      <x:c r="D22" s="47"/>
      <x:c r="E22" s="47"/>
      <x:c r="F22" s="47"/>
      <x:c r="G22" s="48"/>
      <x:c r="H22" s="47"/>
      <x:c r="I22" s="49"/>
      <x:c r="J22" s="49"/>
      <x:c r="K22" s="50"/>
      <x:c r="L22" s="50"/>
      <x:c r="M22" s="47"/>
      <x:c r="N22" s="47"/>
      <x:c r="O22" s="47"/>
      <x:c r="P22" s="47"/>
      <x:c r="Q22" s="29" t="str">
        <x:f>IF($B22="","",SUM($K22:$L22)+IF($M22="Yes",3,0)+IF($N22="Yes",3,0)+IF($O22="Yes",2,0)+IF($P22="Yes",2,0))</x:f>
      </x:c>
      <x:c r="R22" s="29" t="str">
        <x:f>IF($Q22="","",IF($Q22&gt;=15,"Qualified",IF($Q22&gt;=10,"Maybe","Low fit")))</x:f>
      </x:c>
      <x:c r="S22" s="47"/>
      <x:c r="T22" s="56"/>
      <x:c r="U22" s="56"/>
      <x:c r="V22" s="56"/>
      <x:c r="W22" s="56"/>
      <x:c r="X22" s="56"/>
      <x:c r="Y22" s="56"/>
      <x:c r="Z22" s="56"/>
      <x:c r="AA22" s="56"/>
      <x:c r="AB22" s="48"/>
      <x:c r="AC22" s="47"/>
      <x:c r="AD22" s="49"/>
      <x:c r="AE22" s="49"/>
      <x:c r="AF22" s="56"/>
      <x:c r="AG22" s="32" t="str">
        <x:f>IF($B22="","",IF(MAX($T22:$AA22)=0,"",TODAY()-MAX($T22:$AA22)))</x:f>
      </x:c>
      <x:c r="AH22" s="47"/>
      <x:c r="AI22" s="47"/>
    </x:row>
    <x:row r="23" ht="15" hidden="0" customHeight="1">
      <x:c r="A23" s="29" t="str">
        <x:f>IF($B23&lt;&gt;"","SS-"&amp;TEXT(ROW()-4,"000"),"")</x:f>
      </x:c>
      <x:c r="B23" s="47"/>
      <x:c r="C23" s="47"/>
      <x:c r="D23" s="47"/>
      <x:c r="E23" s="47"/>
      <x:c r="F23" s="47"/>
      <x:c r="G23" s="48"/>
      <x:c r="H23" s="47"/>
      <x:c r="I23" s="49"/>
      <x:c r="J23" s="49"/>
      <x:c r="K23" s="50"/>
      <x:c r="L23" s="50"/>
      <x:c r="M23" s="47"/>
      <x:c r="N23" s="47"/>
      <x:c r="O23" s="47"/>
      <x:c r="P23" s="47"/>
      <x:c r="Q23" s="29" t="str">
        <x:f>IF($B23="","",SUM($K23:$L23)+IF($M23="Yes",3,0)+IF($N23="Yes",3,0)+IF($O23="Yes",2,0)+IF($P23="Yes",2,0))</x:f>
      </x:c>
      <x:c r="R23" s="29" t="str">
        <x:f>IF($Q23="","",IF($Q23&gt;=15,"Qualified",IF($Q23&gt;=10,"Maybe","Low fit")))</x:f>
      </x:c>
      <x:c r="S23" s="47"/>
      <x:c r="T23" s="56"/>
      <x:c r="U23" s="56"/>
      <x:c r="V23" s="56"/>
      <x:c r="W23" s="56"/>
      <x:c r="X23" s="56"/>
      <x:c r="Y23" s="56"/>
      <x:c r="Z23" s="56"/>
      <x:c r="AA23" s="56"/>
      <x:c r="AB23" s="48"/>
      <x:c r="AC23" s="47"/>
      <x:c r="AD23" s="49"/>
      <x:c r="AE23" s="49"/>
      <x:c r="AF23" s="56"/>
      <x:c r="AG23" s="32" t="str">
        <x:f>IF($B23="","",IF(MAX($T23:$AA23)=0,"",TODAY()-MAX($T23:$AA23)))</x:f>
      </x:c>
      <x:c r="AH23" s="47"/>
      <x:c r="AI23" s="47"/>
    </x:row>
    <x:row r="24" ht="15" hidden="0" customHeight="1">
      <x:c r="A24" s="29" t="str">
        <x:f>IF($B24&lt;&gt;"","SS-"&amp;TEXT(ROW()-4,"000"),"")</x:f>
      </x:c>
      <x:c r="B24" s="47"/>
      <x:c r="C24" s="47"/>
      <x:c r="D24" s="47"/>
      <x:c r="E24" s="47"/>
      <x:c r="F24" s="47"/>
      <x:c r="G24" s="48"/>
      <x:c r="H24" s="47"/>
      <x:c r="I24" s="49"/>
      <x:c r="J24" s="49"/>
      <x:c r="K24" s="50"/>
      <x:c r="L24" s="50"/>
      <x:c r="M24" s="47"/>
      <x:c r="N24" s="47"/>
      <x:c r="O24" s="47"/>
      <x:c r="P24" s="47"/>
      <x:c r="Q24" s="29" t="str">
        <x:f>IF($B24="","",SUM($K24:$L24)+IF($M24="Yes",3,0)+IF($N24="Yes",3,0)+IF($O24="Yes",2,0)+IF($P24="Yes",2,0))</x:f>
      </x:c>
      <x:c r="R24" s="29" t="str">
        <x:f>IF($Q24="","",IF($Q24&gt;=15,"Qualified",IF($Q24&gt;=10,"Maybe","Low fit")))</x:f>
      </x:c>
      <x:c r="S24" s="47"/>
      <x:c r="T24" s="56"/>
      <x:c r="U24" s="56"/>
      <x:c r="V24" s="56"/>
      <x:c r="W24" s="56"/>
      <x:c r="X24" s="56"/>
      <x:c r="Y24" s="56"/>
      <x:c r="Z24" s="56"/>
      <x:c r="AA24" s="56"/>
      <x:c r="AB24" s="48"/>
      <x:c r="AC24" s="47"/>
      <x:c r="AD24" s="49"/>
      <x:c r="AE24" s="49"/>
      <x:c r="AF24" s="56"/>
      <x:c r="AG24" s="32" t="str">
        <x:f>IF($B24="","",IF(MAX($T24:$AA24)=0,"",TODAY()-MAX($T24:$AA24)))</x:f>
      </x:c>
      <x:c r="AH24" s="47"/>
      <x:c r="AI24" s="47"/>
    </x:row>
    <x:row r="25" ht="15" hidden="0" customHeight="1">
      <x:c r="A25" s="29" t="str">
        <x:f>IF($B25&lt;&gt;"","SS-"&amp;TEXT(ROW()-4,"000"),"")</x:f>
      </x:c>
      <x:c r="B25" s="47"/>
      <x:c r="C25" s="47"/>
      <x:c r="D25" s="47"/>
      <x:c r="E25" s="47"/>
      <x:c r="F25" s="47"/>
      <x:c r="G25" s="48"/>
      <x:c r="H25" s="47"/>
      <x:c r="I25" s="49"/>
      <x:c r="J25" s="49"/>
      <x:c r="K25" s="50"/>
      <x:c r="L25" s="50"/>
      <x:c r="M25" s="47"/>
      <x:c r="N25" s="47"/>
      <x:c r="O25" s="47"/>
      <x:c r="P25" s="47"/>
      <x:c r="Q25" s="29" t="str">
        <x:f>IF($B25="","",SUM($K25:$L25)+IF($M25="Yes",3,0)+IF($N25="Yes",3,0)+IF($O25="Yes",2,0)+IF($P25="Yes",2,0))</x:f>
      </x:c>
      <x:c r="R25" s="29" t="str">
        <x:f>IF($Q25="","",IF($Q25&gt;=15,"Qualified",IF($Q25&gt;=10,"Maybe","Low fit")))</x:f>
      </x:c>
      <x:c r="S25" s="47"/>
      <x:c r="T25" s="56"/>
      <x:c r="U25" s="56"/>
      <x:c r="V25" s="56"/>
      <x:c r="W25" s="56"/>
      <x:c r="X25" s="56"/>
      <x:c r="Y25" s="56"/>
      <x:c r="Z25" s="56"/>
      <x:c r="AA25" s="56"/>
      <x:c r="AB25" s="48"/>
      <x:c r="AC25" s="47"/>
      <x:c r="AD25" s="49"/>
      <x:c r="AE25" s="49"/>
      <x:c r="AF25" s="56"/>
      <x:c r="AG25" s="32" t="str">
        <x:f>IF($B25="","",IF(MAX($T25:$AA25)=0,"",TODAY()-MAX($T25:$AA25)))</x:f>
      </x:c>
      <x:c r="AH25" s="47"/>
      <x:c r="AI25" s="47"/>
    </x:row>
    <x:row r="26" ht="15" hidden="0" customHeight="1">
      <x:c r="A26" s="29" t="str">
        <x:f>IF($B26&lt;&gt;"","SS-"&amp;TEXT(ROW()-4,"000"),"")</x:f>
      </x:c>
      <x:c r="B26" s="47"/>
      <x:c r="C26" s="47"/>
      <x:c r="D26" s="47"/>
      <x:c r="E26" s="47"/>
      <x:c r="F26" s="47"/>
      <x:c r="G26" s="48"/>
      <x:c r="H26" s="47"/>
      <x:c r="I26" s="49"/>
      <x:c r="J26" s="49"/>
      <x:c r="K26" s="50"/>
      <x:c r="L26" s="50"/>
      <x:c r="M26" s="47"/>
      <x:c r="N26" s="47"/>
      <x:c r="O26" s="47"/>
      <x:c r="P26" s="47"/>
      <x:c r="Q26" s="29" t="str">
        <x:f>IF($B26="","",SUM($K26:$L26)+IF($M26="Yes",3,0)+IF($N26="Yes",3,0)+IF($O26="Yes",2,0)+IF($P26="Yes",2,0))</x:f>
      </x:c>
      <x:c r="R26" s="29" t="str">
        <x:f>IF($Q26="","",IF($Q26&gt;=15,"Qualified",IF($Q26&gt;=10,"Maybe","Low fit")))</x:f>
      </x:c>
      <x:c r="S26" s="47"/>
      <x:c r="T26" s="56"/>
      <x:c r="U26" s="56"/>
      <x:c r="V26" s="56"/>
      <x:c r="W26" s="56"/>
      <x:c r="X26" s="56"/>
      <x:c r="Y26" s="56"/>
      <x:c r="Z26" s="56"/>
      <x:c r="AA26" s="56"/>
      <x:c r="AB26" s="48"/>
      <x:c r="AC26" s="47"/>
      <x:c r="AD26" s="49"/>
      <x:c r="AE26" s="49"/>
      <x:c r="AF26" s="56"/>
      <x:c r="AG26" s="32" t="str">
        <x:f>IF($B26="","",IF(MAX($T26:$AA26)=0,"",TODAY()-MAX($T26:$AA26)))</x:f>
      </x:c>
      <x:c r="AH26" s="47"/>
      <x:c r="AI26" s="47"/>
    </x:row>
    <x:row r="27" ht="15" hidden="0" customHeight="1">
      <x:c r="A27" s="29" t="str">
        <x:f>IF($B27&lt;&gt;"","SS-"&amp;TEXT(ROW()-4,"000"),"")</x:f>
      </x:c>
      <x:c r="B27" s="47"/>
      <x:c r="C27" s="47"/>
      <x:c r="D27" s="47"/>
      <x:c r="E27" s="47"/>
      <x:c r="F27" s="47"/>
      <x:c r="G27" s="48"/>
      <x:c r="H27" s="47"/>
      <x:c r="I27" s="49"/>
      <x:c r="J27" s="49"/>
      <x:c r="K27" s="50"/>
      <x:c r="L27" s="50"/>
      <x:c r="M27" s="47"/>
      <x:c r="N27" s="47"/>
      <x:c r="O27" s="47"/>
      <x:c r="P27" s="47"/>
      <x:c r="Q27" s="29" t="str">
        <x:f>IF($B27="","",SUM($K27:$L27)+IF($M27="Yes",3,0)+IF($N27="Yes",3,0)+IF($O27="Yes",2,0)+IF($P27="Yes",2,0))</x:f>
      </x:c>
      <x:c r="R27" s="29" t="str">
        <x:f>IF($Q27="","",IF($Q27&gt;=15,"Qualified",IF($Q27&gt;=10,"Maybe","Low fit")))</x:f>
      </x:c>
      <x:c r="S27" s="47"/>
      <x:c r="T27" s="56"/>
      <x:c r="U27" s="56"/>
      <x:c r="V27" s="56"/>
      <x:c r="W27" s="56"/>
      <x:c r="X27" s="56"/>
      <x:c r="Y27" s="56"/>
      <x:c r="Z27" s="56"/>
      <x:c r="AA27" s="56"/>
      <x:c r="AB27" s="48"/>
      <x:c r="AC27" s="47"/>
      <x:c r="AD27" s="49"/>
      <x:c r="AE27" s="49"/>
      <x:c r="AF27" s="56"/>
      <x:c r="AG27" s="32" t="str">
        <x:f>IF($B27="","",IF(MAX($T27:$AA27)=0,"",TODAY()-MAX($T27:$AA27)))</x:f>
      </x:c>
      <x:c r="AH27" s="47"/>
      <x:c r="AI27" s="47"/>
    </x:row>
    <x:row r="28" ht="15" hidden="0" customHeight="1">
      <x:c r="A28" s="29" t="str">
        <x:f>IF($B28&lt;&gt;"","SS-"&amp;TEXT(ROW()-4,"000"),"")</x:f>
      </x:c>
      <x:c r="B28" s="47"/>
      <x:c r="C28" s="47"/>
      <x:c r="D28" s="47"/>
      <x:c r="E28" s="47"/>
      <x:c r="F28" s="47"/>
      <x:c r="G28" s="48"/>
      <x:c r="H28" s="47"/>
      <x:c r="I28" s="49"/>
      <x:c r="J28" s="49"/>
      <x:c r="K28" s="50"/>
      <x:c r="L28" s="50"/>
      <x:c r="M28" s="47"/>
      <x:c r="N28" s="47"/>
      <x:c r="O28" s="47"/>
      <x:c r="P28" s="47"/>
      <x:c r="Q28" s="29" t="str">
        <x:f>IF($B28="","",SUM($K28:$L28)+IF($M28="Yes",3,0)+IF($N28="Yes",3,0)+IF($O28="Yes",2,0)+IF($P28="Yes",2,0))</x:f>
      </x:c>
      <x:c r="R28" s="29" t="str">
        <x:f>IF($Q28="","",IF($Q28&gt;=15,"Qualified",IF($Q28&gt;=10,"Maybe","Low fit")))</x:f>
      </x:c>
      <x:c r="S28" s="47"/>
      <x:c r="T28" s="56"/>
      <x:c r="U28" s="56"/>
      <x:c r="V28" s="56"/>
      <x:c r="W28" s="56"/>
      <x:c r="X28" s="56"/>
      <x:c r="Y28" s="56"/>
      <x:c r="Z28" s="56"/>
      <x:c r="AA28" s="56"/>
      <x:c r="AB28" s="48"/>
      <x:c r="AC28" s="47"/>
      <x:c r="AD28" s="49"/>
      <x:c r="AE28" s="49"/>
      <x:c r="AF28" s="56"/>
      <x:c r="AG28" s="32" t="str">
        <x:f>IF($B28="","",IF(MAX($T28:$AA28)=0,"",TODAY()-MAX($T28:$AA28)))</x:f>
      </x:c>
      <x:c r="AH28" s="47"/>
      <x:c r="AI28" s="47"/>
    </x:row>
    <x:row r="29" ht="15" hidden="0" customHeight="1">
      <x:c r="A29" s="29" t="str">
        <x:f>IF($B29&lt;&gt;"","SS-"&amp;TEXT(ROW()-4,"000"),"")</x:f>
      </x:c>
      <x:c r="B29" s="47"/>
      <x:c r="C29" s="47"/>
      <x:c r="D29" s="47"/>
      <x:c r="E29" s="47"/>
      <x:c r="F29" s="47"/>
      <x:c r="G29" s="48"/>
      <x:c r="H29" s="47"/>
      <x:c r="I29" s="49"/>
      <x:c r="J29" s="49"/>
      <x:c r="K29" s="50"/>
      <x:c r="L29" s="50"/>
      <x:c r="M29" s="47"/>
      <x:c r="N29" s="47"/>
      <x:c r="O29" s="47"/>
      <x:c r="P29" s="47"/>
      <x:c r="Q29" s="29" t="str">
        <x:f>IF($B29="","",SUM($K29:$L29)+IF($M29="Yes",3,0)+IF($N29="Yes",3,0)+IF($O29="Yes",2,0)+IF($P29="Yes",2,0))</x:f>
      </x:c>
      <x:c r="R29" s="29" t="str">
        <x:f>IF($Q29="","",IF($Q29&gt;=15,"Qualified",IF($Q29&gt;=10,"Maybe","Low fit")))</x:f>
      </x:c>
      <x:c r="S29" s="47"/>
      <x:c r="T29" s="56"/>
      <x:c r="U29" s="56"/>
      <x:c r="V29" s="56"/>
      <x:c r="W29" s="56"/>
      <x:c r="X29" s="56"/>
      <x:c r="Y29" s="56"/>
      <x:c r="Z29" s="56"/>
      <x:c r="AA29" s="56"/>
      <x:c r="AB29" s="48"/>
      <x:c r="AC29" s="47"/>
      <x:c r="AD29" s="49"/>
      <x:c r="AE29" s="49"/>
      <x:c r="AF29" s="56"/>
      <x:c r="AG29" s="32" t="str">
        <x:f>IF($B29="","",IF(MAX($T29:$AA29)=0,"",TODAY()-MAX($T29:$AA29)))</x:f>
      </x:c>
      <x:c r="AH29" s="47"/>
      <x:c r="AI29" s="47"/>
    </x:row>
    <x:row r="30" ht="15" hidden="0" customHeight="1">
      <x:c r="A30" s="29" t="str">
        <x:f>IF($B30&lt;&gt;"","SS-"&amp;TEXT(ROW()-4,"000"),"")</x:f>
      </x:c>
      <x:c r="B30" s="47"/>
      <x:c r="C30" s="47"/>
      <x:c r="D30" s="47"/>
      <x:c r="E30" s="47"/>
      <x:c r="F30" s="47"/>
      <x:c r="G30" s="48"/>
      <x:c r="H30" s="47"/>
      <x:c r="I30" s="49"/>
      <x:c r="J30" s="49"/>
      <x:c r="K30" s="50"/>
      <x:c r="L30" s="50"/>
      <x:c r="M30" s="47"/>
      <x:c r="N30" s="47"/>
      <x:c r="O30" s="47"/>
      <x:c r="P30" s="47"/>
      <x:c r="Q30" s="29" t="str">
        <x:f>IF($B30="","",SUM($K30:$L30)+IF($M30="Yes",3,0)+IF($N30="Yes",3,0)+IF($O30="Yes",2,0)+IF($P30="Yes",2,0))</x:f>
      </x:c>
      <x:c r="R30" s="29" t="str">
        <x:f>IF($Q30="","",IF($Q30&gt;=15,"Qualified",IF($Q30&gt;=10,"Maybe","Low fit")))</x:f>
      </x:c>
      <x:c r="S30" s="47"/>
      <x:c r="T30" s="56"/>
      <x:c r="U30" s="56"/>
      <x:c r="V30" s="56"/>
      <x:c r="W30" s="56"/>
      <x:c r="X30" s="56"/>
      <x:c r="Y30" s="56"/>
      <x:c r="Z30" s="56"/>
      <x:c r="AA30" s="56"/>
      <x:c r="AB30" s="48"/>
      <x:c r="AC30" s="47"/>
      <x:c r="AD30" s="49"/>
      <x:c r="AE30" s="49"/>
      <x:c r="AF30" s="56"/>
      <x:c r="AG30" s="32" t="str">
        <x:f>IF($B30="","",IF(MAX($T30:$AA30)=0,"",TODAY()-MAX($T30:$AA30)))</x:f>
      </x:c>
      <x:c r="AH30" s="47"/>
      <x:c r="AI30" s="47"/>
    </x:row>
    <x:row r="31" ht="15" hidden="0" customHeight="1">
      <x:c r="A31" s="29" t="str">
        <x:f>IF($B31&lt;&gt;"","SS-"&amp;TEXT(ROW()-4,"000"),"")</x:f>
      </x:c>
      <x:c r="B31" s="47"/>
      <x:c r="C31" s="47"/>
      <x:c r="D31" s="47"/>
      <x:c r="E31" s="47"/>
      <x:c r="F31" s="47"/>
      <x:c r="G31" s="48"/>
      <x:c r="H31" s="47"/>
      <x:c r="I31" s="49"/>
      <x:c r="J31" s="49"/>
      <x:c r="K31" s="50"/>
      <x:c r="L31" s="50"/>
      <x:c r="M31" s="47"/>
      <x:c r="N31" s="47"/>
      <x:c r="O31" s="47"/>
      <x:c r="P31" s="47"/>
      <x:c r="Q31" s="29" t="str">
        <x:f>IF($B31="","",SUM($K31:$L31)+IF($M31="Yes",3,0)+IF($N31="Yes",3,0)+IF($O31="Yes",2,0)+IF($P31="Yes",2,0))</x:f>
      </x:c>
      <x:c r="R31" s="29" t="str">
        <x:f>IF($Q31="","",IF($Q31&gt;=15,"Qualified",IF($Q31&gt;=10,"Maybe","Low fit")))</x:f>
      </x:c>
      <x:c r="S31" s="47"/>
      <x:c r="T31" s="56"/>
      <x:c r="U31" s="56"/>
      <x:c r="V31" s="56"/>
      <x:c r="W31" s="56"/>
      <x:c r="X31" s="56"/>
      <x:c r="Y31" s="56"/>
      <x:c r="Z31" s="56"/>
      <x:c r="AA31" s="56"/>
      <x:c r="AB31" s="48"/>
      <x:c r="AC31" s="47"/>
      <x:c r="AD31" s="49"/>
      <x:c r="AE31" s="49"/>
      <x:c r="AF31" s="56"/>
      <x:c r="AG31" s="32" t="str">
        <x:f>IF($B31="","",IF(MAX($T31:$AA31)=0,"",TODAY()-MAX($T31:$AA31)))</x:f>
      </x:c>
      <x:c r="AH31" s="47"/>
      <x:c r="AI31" s="47"/>
    </x:row>
    <x:row r="32" ht="15" hidden="0" customHeight="1">
      <x:c r="A32" s="29" t="str">
        <x:f>IF($B32&lt;&gt;"","SS-"&amp;TEXT(ROW()-4,"000"),"")</x:f>
      </x:c>
      <x:c r="B32" s="47"/>
      <x:c r="C32" s="47"/>
      <x:c r="D32" s="47"/>
      <x:c r="E32" s="47"/>
      <x:c r="F32" s="47"/>
      <x:c r="G32" s="48"/>
      <x:c r="H32" s="47"/>
      <x:c r="I32" s="49"/>
      <x:c r="J32" s="49"/>
      <x:c r="K32" s="50"/>
      <x:c r="L32" s="50"/>
      <x:c r="M32" s="47"/>
      <x:c r="N32" s="47"/>
      <x:c r="O32" s="47"/>
      <x:c r="P32" s="47"/>
      <x:c r="Q32" s="29" t="str">
        <x:f>IF($B32="","",SUM($K32:$L32)+IF($M32="Yes",3,0)+IF($N32="Yes",3,0)+IF($O32="Yes",2,0)+IF($P32="Yes",2,0))</x:f>
      </x:c>
      <x:c r="R32" s="29" t="str">
        <x:f>IF($Q32="","",IF($Q32&gt;=15,"Qualified",IF($Q32&gt;=10,"Maybe","Low fit")))</x:f>
      </x:c>
      <x:c r="S32" s="47"/>
      <x:c r="T32" s="56"/>
      <x:c r="U32" s="56"/>
      <x:c r="V32" s="56"/>
      <x:c r="W32" s="56"/>
      <x:c r="X32" s="56"/>
      <x:c r="Y32" s="56"/>
      <x:c r="Z32" s="56"/>
      <x:c r="AA32" s="56"/>
      <x:c r="AB32" s="48"/>
      <x:c r="AC32" s="47"/>
      <x:c r="AD32" s="49"/>
      <x:c r="AE32" s="49"/>
      <x:c r="AF32" s="56"/>
      <x:c r="AG32" s="32" t="str">
        <x:f>IF($B32="","",IF(MAX($T32:$AA32)=0,"",TODAY()-MAX($T32:$AA32)))</x:f>
      </x:c>
      <x:c r="AH32" s="47"/>
      <x:c r="AI32" s="47"/>
    </x:row>
    <x:row r="33" ht="15" hidden="0" customHeight="1">
      <x:c r="A33" s="29" t="str">
        <x:f>IF($B33&lt;&gt;"","SS-"&amp;TEXT(ROW()-4,"000"),"")</x:f>
      </x:c>
      <x:c r="B33" s="47"/>
      <x:c r="C33" s="47"/>
      <x:c r="D33" s="47"/>
      <x:c r="E33" s="47"/>
      <x:c r="F33" s="47"/>
      <x:c r="G33" s="48"/>
      <x:c r="H33" s="47"/>
      <x:c r="I33" s="49"/>
      <x:c r="J33" s="49"/>
      <x:c r="K33" s="50"/>
      <x:c r="L33" s="50"/>
      <x:c r="M33" s="47"/>
      <x:c r="N33" s="47"/>
      <x:c r="O33" s="47"/>
      <x:c r="P33" s="47"/>
      <x:c r="Q33" s="29" t="str">
        <x:f>IF($B33="","",SUM($K33:$L33)+IF($M33="Yes",3,0)+IF($N33="Yes",3,0)+IF($O33="Yes",2,0)+IF($P33="Yes",2,0))</x:f>
      </x:c>
      <x:c r="R33" s="29" t="str">
        <x:f>IF($Q33="","",IF($Q33&gt;=15,"Qualified",IF($Q33&gt;=10,"Maybe","Low fit")))</x:f>
      </x:c>
      <x:c r="S33" s="47"/>
      <x:c r="T33" s="56"/>
      <x:c r="U33" s="56"/>
      <x:c r="V33" s="56"/>
      <x:c r="W33" s="56"/>
      <x:c r="X33" s="56"/>
      <x:c r="Y33" s="56"/>
      <x:c r="Z33" s="56"/>
      <x:c r="AA33" s="56"/>
      <x:c r="AB33" s="48"/>
      <x:c r="AC33" s="47"/>
      <x:c r="AD33" s="49"/>
      <x:c r="AE33" s="49"/>
      <x:c r="AF33" s="56"/>
      <x:c r="AG33" s="32" t="str">
        <x:f>IF($B33="","",IF(MAX($T33:$AA33)=0,"",TODAY()-MAX($T33:$AA33)))</x:f>
      </x:c>
      <x:c r="AH33" s="47"/>
      <x:c r="AI33" s="47"/>
    </x:row>
    <x:row r="34" ht="15" hidden="0" customHeight="1">
      <x:c r="A34" s="29" t="str">
        <x:f>IF($B34&lt;&gt;"","SS-"&amp;TEXT(ROW()-4,"000"),"")</x:f>
      </x:c>
      <x:c r="B34" s="47"/>
      <x:c r="C34" s="47"/>
      <x:c r="D34" s="47"/>
      <x:c r="E34" s="47"/>
      <x:c r="F34" s="47"/>
      <x:c r="G34" s="48"/>
      <x:c r="H34" s="47"/>
      <x:c r="I34" s="49"/>
      <x:c r="J34" s="49"/>
      <x:c r="K34" s="50"/>
      <x:c r="L34" s="50"/>
      <x:c r="M34" s="47"/>
      <x:c r="N34" s="47"/>
      <x:c r="O34" s="47"/>
      <x:c r="P34" s="47"/>
      <x:c r="Q34" s="29" t="str">
        <x:f>IF($B34="","",SUM($K34:$L34)+IF($M34="Yes",3,0)+IF($N34="Yes",3,0)+IF($O34="Yes",2,0)+IF($P34="Yes",2,0))</x:f>
      </x:c>
      <x:c r="R34" s="29" t="str">
        <x:f>IF($Q34="","",IF($Q34&gt;=15,"Qualified",IF($Q34&gt;=10,"Maybe","Low fit")))</x:f>
      </x:c>
      <x:c r="S34" s="47"/>
      <x:c r="T34" s="56"/>
      <x:c r="U34" s="56"/>
      <x:c r="V34" s="56"/>
      <x:c r="W34" s="56"/>
      <x:c r="X34" s="56"/>
      <x:c r="Y34" s="56"/>
      <x:c r="Z34" s="56"/>
      <x:c r="AA34" s="56"/>
      <x:c r="AB34" s="48"/>
      <x:c r="AC34" s="47"/>
      <x:c r="AD34" s="49"/>
      <x:c r="AE34" s="49"/>
      <x:c r="AF34" s="56"/>
      <x:c r="AG34" s="32" t="str">
        <x:f>IF($B34="","",IF(MAX($T34:$AA34)=0,"",TODAY()-MAX($T34:$AA34)))</x:f>
      </x:c>
      <x:c r="AH34" s="47"/>
      <x:c r="AI34" s="47"/>
    </x:row>
    <x:row r="35" ht="15" hidden="0" customHeight="1">
      <x:c r="A35" s="29" t="str">
        <x:f>IF($B35&lt;&gt;"","SS-"&amp;TEXT(ROW()-4,"000"),"")</x:f>
      </x:c>
      <x:c r="B35" s="47"/>
      <x:c r="C35" s="47"/>
      <x:c r="D35" s="47"/>
      <x:c r="E35" s="47"/>
      <x:c r="F35" s="47"/>
      <x:c r="G35" s="48"/>
      <x:c r="H35" s="47"/>
      <x:c r="I35" s="49"/>
      <x:c r="J35" s="49"/>
      <x:c r="K35" s="50"/>
      <x:c r="L35" s="50"/>
      <x:c r="M35" s="47"/>
      <x:c r="N35" s="47"/>
      <x:c r="O35" s="47"/>
      <x:c r="P35" s="47"/>
      <x:c r="Q35" s="29" t="str">
        <x:f>IF($B35="","",SUM($K35:$L35)+IF($M35="Yes",3,0)+IF($N35="Yes",3,0)+IF($O35="Yes",2,0)+IF($P35="Yes",2,0))</x:f>
      </x:c>
      <x:c r="R35" s="29" t="str">
        <x:f>IF($Q35="","",IF($Q35&gt;=15,"Qualified",IF($Q35&gt;=10,"Maybe","Low fit")))</x:f>
      </x:c>
      <x:c r="S35" s="47"/>
      <x:c r="T35" s="56"/>
      <x:c r="U35" s="56"/>
      <x:c r="V35" s="56"/>
      <x:c r="W35" s="56"/>
      <x:c r="X35" s="56"/>
      <x:c r="Y35" s="56"/>
      <x:c r="Z35" s="56"/>
      <x:c r="AA35" s="56"/>
      <x:c r="AB35" s="48"/>
      <x:c r="AC35" s="47"/>
      <x:c r="AD35" s="49"/>
      <x:c r="AE35" s="49"/>
      <x:c r="AF35" s="56"/>
      <x:c r="AG35" s="32" t="str">
        <x:f>IF($B35="","",IF(MAX($T35:$AA35)=0,"",TODAY()-MAX($T35:$AA35)))</x:f>
      </x:c>
      <x:c r="AH35" s="47"/>
      <x:c r="AI35" s="47"/>
    </x:row>
    <x:row r="36" ht="15" hidden="0" customHeight="1">
      <x:c r="A36" s="29" t="str">
        <x:f>IF($B36&lt;&gt;"","SS-"&amp;TEXT(ROW()-4,"000"),"")</x:f>
      </x:c>
      <x:c r="B36" s="47"/>
      <x:c r="C36" s="47"/>
      <x:c r="D36" s="47"/>
      <x:c r="E36" s="47"/>
      <x:c r="F36" s="47"/>
      <x:c r="G36" s="48"/>
      <x:c r="H36" s="47"/>
      <x:c r="I36" s="49"/>
      <x:c r="J36" s="49"/>
      <x:c r="K36" s="50"/>
      <x:c r="L36" s="50"/>
      <x:c r="M36" s="47"/>
      <x:c r="N36" s="47"/>
      <x:c r="O36" s="47"/>
      <x:c r="P36" s="47"/>
      <x:c r="Q36" s="29" t="str">
        <x:f>IF($B36="","",SUM($K36:$L36)+IF($M36="Yes",3,0)+IF($N36="Yes",3,0)+IF($O36="Yes",2,0)+IF($P36="Yes",2,0))</x:f>
      </x:c>
      <x:c r="R36" s="29" t="str">
        <x:f>IF($Q36="","",IF($Q36&gt;=15,"Qualified",IF($Q36&gt;=10,"Maybe","Low fit")))</x:f>
      </x:c>
      <x:c r="S36" s="47"/>
      <x:c r="T36" s="56"/>
      <x:c r="U36" s="56"/>
      <x:c r="V36" s="56"/>
      <x:c r="W36" s="56"/>
      <x:c r="X36" s="56"/>
      <x:c r="Y36" s="56"/>
      <x:c r="Z36" s="56"/>
      <x:c r="AA36" s="56"/>
      <x:c r="AB36" s="48"/>
      <x:c r="AC36" s="47"/>
      <x:c r="AD36" s="49"/>
      <x:c r="AE36" s="49"/>
      <x:c r="AF36" s="56"/>
      <x:c r="AG36" s="32" t="str">
        <x:f>IF($B36="","",IF(MAX($T36:$AA36)=0,"",TODAY()-MAX($T36:$AA36)))</x:f>
      </x:c>
      <x:c r="AH36" s="47"/>
      <x:c r="AI36" s="47"/>
    </x:row>
    <x:row r="37" ht="15" hidden="0" customHeight="1">
      <x:c r="A37" s="29" t="str">
        <x:f>IF($B37&lt;&gt;"","SS-"&amp;TEXT(ROW()-4,"000"),"")</x:f>
      </x:c>
      <x:c r="B37" s="47"/>
      <x:c r="C37" s="47"/>
      <x:c r="D37" s="47"/>
      <x:c r="E37" s="47"/>
      <x:c r="F37" s="47"/>
      <x:c r="G37" s="48"/>
      <x:c r="H37" s="47"/>
      <x:c r="I37" s="49"/>
      <x:c r="J37" s="49"/>
      <x:c r="K37" s="50"/>
      <x:c r="L37" s="50"/>
      <x:c r="M37" s="47"/>
      <x:c r="N37" s="47"/>
      <x:c r="O37" s="47"/>
      <x:c r="P37" s="47"/>
      <x:c r="Q37" s="29" t="str">
        <x:f>IF($B37="","",SUM($K37:$L37)+IF($M37="Yes",3,0)+IF($N37="Yes",3,0)+IF($O37="Yes",2,0)+IF($P37="Yes",2,0))</x:f>
      </x:c>
      <x:c r="R37" s="29" t="str">
        <x:f>IF($Q37="","",IF($Q37&gt;=15,"Qualified",IF($Q37&gt;=10,"Maybe","Low fit")))</x:f>
      </x:c>
      <x:c r="S37" s="47"/>
      <x:c r="T37" s="56"/>
      <x:c r="U37" s="56"/>
      <x:c r="V37" s="56"/>
      <x:c r="W37" s="56"/>
      <x:c r="X37" s="56"/>
      <x:c r="Y37" s="56"/>
      <x:c r="Z37" s="56"/>
      <x:c r="AA37" s="56"/>
      <x:c r="AB37" s="48"/>
      <x:c r="AC37" s="47"/>
      <x:c r="AD37" s="49"/>
      <x:c r="AE37" s="49"/>
      <x:c r="AF37" s="56"/>
      <x:c r="AG37" s="32" t="str">
        <x:f>IF($B37="","",IF(MAX($T37:$AA37)=0,"",TODAY()-MAX($T37:$AA37)))</x:f>
      </x:c>
      <x:c r="AH37" s="47"/>
      <x:c r="AI37" s="47"/>
    </x:row>
    <x:row r="38" ht="15" hidden="0" customHeight="1">
      <x:c r="A38" s="29" t="str">
        <x:f>IF($B38&lt;&gt;"","SS-"&amp;TEXT(ROW()-4,"000"),"")</x:f>
      </x:c>
      <x:c r="B38" s="47"/>
      <x:c r="C38" s="47"/>
      <x:c r="D38" s="47"/>
      <x:c r="E38" s="47"/>
      <x:c r="F38" s="47"/>
      <x:c r="G38" s="48"/>
      <x:c r="H38" s="47"/>
      <x:c r="I38" s="49"/>
      <x:c r="J38" s="49"/>
      <x:c r="K38" s="50"/>
      <x:c r="L38" s="50"/>
      <x:c r="M38" s="47"/>
      <x:c r="N38" s="47"/>
      <x:c r="O38" s="47"/>
      <x:c r="P38" s="47"/>
      <x:c r="Q38" s="29" t="str">
        <x:f>IF($B38="","",SUM($K38:$L38)+IF($M38="Yes",3,0)+IF($N38="Yes",3,0)+IF($O38="Yes",2,0)+IF($P38="Yes",2,0))</x:f>
      </x:c>
      <x:c r="R38" s="29" t="str">
        <x:f>IF($Q38="","",IF($Q38&gt;=15,"Qualified",IF($Q38&gt;=10,"Maybe","Low fit")))</x:f>
      </x:c>
      <x:c r="S38" s="47"/>
      <x:c r="T38" s="56"/>
      <x:c r="U38" s="56"/>
      <x:c r="V38" s="56"/>
      <x:c r="W38" s="56"/>
      <x:c r="X38" s="56"/>
      <x:c r="Y38" s="56"/>
      <x:c r="Z38" s="56"/>
      <x:c r="AA38" s="56"/>
      <x:c r="AB38" s="48"/>
      <x:c r="AC38" s="47"/>
      <x:c r="AD38" s="49"/>
      <x:c r="AE38" s="49"/>
      <x:c r="AF38" s="56"/>
      <x:c r="AG38" s="32" t="str">
        <x:f>IF($B38="","",IF(MAX($T38:$AA38)=0,"",TODAY()-MAX($T38:$AA38)))</x:f>
      </x:c>
      <x:c r="AH38" s="47"/>
      <x:c r="AI38" s="47"/>
    </x:row>
    <x:row r="39" ht="15" hidden="0" customHeight="1">
      <x:c r="A39" s="29" t="str">
        <x:f>IF($B39&lt;&gt;"","SS-"&amp;TEXT(ROW()-4,"000"),"")</x:f>
      </x:c>
      <x:c r="B39" s="47"/>
      <x:c r="C39" s="47"/>
      <x:c r="D39" s="47"/>
      <x:c r="E39" s="47"/>
      <x:c r="F39" s="47"/>
      <x:c r="G39" s="48"/>
      <x:c r="H39" s="47"/>
      <x:c r="I39" s="49"/>
      <x:c r="J39" s="49"/>
      <x:c r="K39" s="50"/>
      <x:c r="L39" s="50"/>
      <x:c r="M39" s="47"/>
      <x:c r="N39" s="47"/>
      <x:c r="O39" s="47"/>
      <x:c r="P39" s="47"/>
      <x:c r="Q39" s="29" t="str">
        <x:f>IF($B39="","",SUM($K39:$L39)+IF($M39="Yes",3,0)+IF($N39="Yes",3,0)+IF($O39="Yes",2,0)+IF($P39="Yes",2,0))</x:f>
      </x:c>
      <x:c r="R39" s="29" t="str">
        <x:f>IF($Q39="","",IF($Q39&gt;=15,"Qualified",IF($Q39&gt;=10,"Maybe","Low fit")))</x:f>
      </x:c>
      <x:c r="S39" s="47"/>
      <x:c r="T39" s="56"/>
      <x:c r="U39" s="56"/>
      <x:c r="V39" s="56"/>
      <x:c r="W39" s="56"/>
      <x:c r="X39" s="56"/>
      <x:c r="Y39" s="56"/>
      <x:c r="Z39" s="56"/>
      <x:c r="AA39" s="56"/>
      <x:c r="AB39" s="48"/>
      <x:c r="AC39" s="47"/>
      <x:c r="AD39" s="49"/>
      <x:c r="AE39" s="49"/>
      <x:c r="AF39" s="56"/>
      <x:c r="AG39" s="32" t="str">
        <x:f>IF($B39="","",IF(MAX($T39:$AA39)=0,"",TODAY()-MAX($T39:$AA39)))</x:f>
      </x:c>
      <x:c r="AH39" s="47"/>
      <x:c r="AI39" s="47"/>
    </x:row>
    <x:row r="40" ht="15" hidden="0" customHeight="1">
      <x:c r="A40" s="29" t="str">
        <x:f>IF($B40&lt;&gt;"","SS-"&amp;TEXT(ROW()-4,"000"),"")</x:f>
      </x:c>
      <x:c r="B40" s="47"/>
      <x:c r="C40" s="47"/>
      <x:c r="D40" s="47"/>
      <x:c r="E40" s="47"/>
      <x:c r="F40" s="47"/>
      <x:c r="G40" s="48"/>
      <x:c r="H40" s="47"/>
      <x:c r="I40" s="49"/>
      <x:c r="J40" s="49"/>
      <x:c r="K40" s="50"/>
      <x:c r="L40" s="50"/>
      <x:c r="M40" s="47"/>
      <x:c r="N40" s="47"/>
      <x:c r="O40" s="47"/>
      <x:c r="P40" s="47"/>
      <x:c r="Q40" s="29" t="str">
        <x:f>IF($B40="","",SUM($K40:$L40)+IF($M40="Yes",3,0)+IF($N40="Yes",3,0)+IF($O40="Yes",2,0)+IF($P40="Yes",2,0))</x:f>
      </x:c>
      <x:c r="R40" s="29" t="str">
        <x:f>IF($Q40="","",IF($Q40&gt;=15,"Qualified",IF($Q40&gt;=10,"Maybe","Low fit")))</x:f>
      </x:c>
      <x:c r="S40" s="47"/>
      <x:c r="T40" s="56"/>
      <x:c r="U40" s="56"/>
      <x:c r="V40" s="56"/>
      <x:c r="W40" s="56"/>
      <x:c r="X40" s="56"/>
      <x:c r="Y40" s="56"/>
      <x:c r="Z40" s="56"/>
      <x:c r="AA40" s="56"/>
      <x:c r="AB40" s="48"/>
      <x:c r="AC40" s="47"/>
      <x:c r="AD40" s="49"/>
      <x:c r="AE40" s="49"/>
      <x:c r="AF40" s="56"/>
      <x:c r="AG40" s="32" t="str">
        <x:f>IF($B40="","",IF(MAX($T40:$AA40)=0,"",TODAY()-MAX($T40:$AA40)))</x:f>
      </x:c>
      <x:c r="AH40" s="47"/>
      <x:c r="AI40" s="47"/>
    </x:row>
    <x:row r="41" ht="15" hidden="0" customHeight="1">
      <x:c r="A41" s="29" t="str">
        <x:f>IF($B41&lt;&gt;"","SS-"&amp;TEXT(ROW()-4,"000"),"")</x:f>
      </x:c>
      <x:c r="B41" s="47"/>
      <x:c r="C41" s="47"/>
      <x:c r="D41" s="47"/>
      <x:c r="E41" s="47"/>
      <x:c r="F41" s="47"/>
      <x:c r="G41" s="48"/>
      <x:c r="H41" s="47"/>
      <x:c r="I41" s="49"/>
      <x:c r="J41" s="49"/>
      <x:c r="K41" s="50"/>
      <x:c r="L41" s="50"/>
      <x:c r="M41" s="47"/>
      <x:c r="N41" s="47"/>
      <x:c r="O41" s="47"/>
      <x:c r="P41" s="47"/>
      <x:c r="Q41" s="29" t="str">
        <x:f>IF($B41="","",SUM($K41:$L41)+IF($M41="Yes",3,0)+IF($N41="Yes",3,0)+IF($O41="Yes",2,0)+IF($P41="Yes",2,0))</x:f>
      </x:c>
      <x:c r="R41" s="29" t="str">
        <x:f>IF($Q41="","",IF($Q41&gt;=15,"Qualified",IF($Q41&gt;=10,"Maybe","Low fit")))</x:f>
      </x:c>
      <x:c r="S41" s="47"/>
      <x:c r="T41" s="56"/>
      <x:c r="U41" s="56"/>
      <x:c r="V41" s="56"/>
      <x:c r="W41" s="56"/>
      <x:c r="X41" s="56"/>
      <x:c r="Y41" s="56"/>
      <x:c r="Z41" s="56"/>
      <x:c r="AA41" s="56"/>
      <x:c r="AB41" s="48"/>
      <x:c r="AC41" s="47"/>
      <x:c r="AD41" s="49"/>
      <x:c r="AE41" s="49"/>
      <x:c r="AF41" s="56"/>
      <x:c r="AG41" s="32" t="str">
        <x:f>IF($B41="","",IF(MAX($T41:$AA41)=0,"",TODAY()-MAX($T41:$AA41)))</x:f>
      </x:c>
      <x:c r="AH41" s="47"/>
      <x:c r="AI41" s="47"/>
    </x:row>
    <x:row r="42" ht="15" hidden="0" customHeight="1">
      <x:c r="A42" s="29" t="str">
        <x:f>IF($B42&lt;&gt;"","SS-"&amp;TEXT(ROW()-4,"000"),"")</x:f>
      </x:c>
      <x:c r="B42" s="47"/>
      <x:c r="C42" s="47"/>
      <x:c r="D42" s="47"/>
      <x:c r="E42" s="47"/>
      <x:c r="F42" s="47"/>
      <x:c r="G42" s="48"/>
      <x:c r="H42" s="47"/>
      <x:c r="I42" s="49"/>
      <x:c r="J42" s="49"/>
      <x:c r="K42" s="50"/>
      <x:c r="L42" s="50"/>
      <x:c r="M42" s="47"/>
      <x:c r="N42" s="47"/>
      <x:c r="O42" s="47"/>
      <x:c r="P42" s="47"/>
      <x:c r="Q42" s="29" t="str">
        <x:f>IF($B42="","",SUM($K42:$L42)+IF($M42="Yes",3,0)+IF($N42="Yes",3,0)+IF($O42="Yes",2,0)+IF($P42="Yes",2,0))</x:f>
      </x:c>
      <x:c r="R42" s="29" t="str">
        <x:f>IF($Q42="","",IF($Q42&gt;=15,"Qualified",IF($Q42&gt;=10,"Maybe","Low fit")))</x:f>
      </x:c>
      <x:c r="S42" s="47"/>
      <x:c r="T42" s="56"/>
      <x:c r="U42" s="56"/>
      <x:c r="V42" s="56"/>
      <x:c r="W42" s="56"/>
      <x:c r="X42" s="56"/>
      <x:c r="Y42" s="56"/>
      <x:c r="Z42" s="56"/>
      <x:c r="AA42" s="56"/>
      <x:c r="AB42" s="48"/>
      <x:c r="AC42" s="47"/>
      <x:c r="AD42" s="49"/>
      <x:c r="AE42" s="49"/>
      <x:c r="AF42" s="56"/>
      <x:c r="AG42" s="32" t="str">
        <x:f>IF($B42="","",IF(MAX($T42:$AA42)=0,"",TODAY()-MAX($T42:$AA42)))</x:f>
      </x:c>
      <x:c r="AH42" s="47"/>
      <x:c r="AI42" s="47"/>
    </x:row>
    <x:row r="43" ht="15" hidden="0" customHeight="1">
      <x:c r="A43" s="29" t="str">
        <x:f>IF($B43&lt;&gt;"","SS-"&amp;TEXT(ROW()-4,"000"),"")</x:f>
      </x:c>
      <x:c r="B43" s="47"/>
      <x:c r="C43" s="47"/>
      <x:c r="D43" s="47"/>
      <x:c r="E43" s="47"/>
      <x:c r="F43" s="47"/>
      <x:c r="G43" s="48"/>
      <x:c r="H43" s="47"/>
      <x:c r="I43" s="49"/>
      <x:c r="J43" s="49"/>
      <x:c r="K43" s="50"/>
      <x:c r="L43" s="50"/>
      <x:c r="M43" s="47"/>
      <x:c r="N43" s="47"/>
      <x:c r="O43" s="47"/>
      <x:c r="P43" s="47"/>
      <x:c r="Q43" s="29" t="str">
        <x:f>IF($B43="","",SUM($K43:$L43)+IF($M43="Yes",3,0)+IF($N43="Yes",3,0)+IF($O43="Yes",2,0)+IF($P43="Yes",2,0))</x:f>
      </x:c>
      <x:c r="R43" s="29" t="str">
        <x:f>IF($Q43="","",IF($Q43&gt;=15,"Qualified",IF($Q43&gt;=10,"Maybe","Low fit")))</x:f>
      </x:c>
      <x:c r="S43" s="47"/>
      <x:c r="T43" s="56"/>
      <x:c r="U43" s="56"/>
      <x:c r="V43" s="56"/>
      <x:c r="W43" s="56"/>
      <x:c r="X43" s="56"/>
      <x:c r="Y43" s="56"/>
      <x:c r="Z43" s="56"/>
      <x:c r="AA43" s="56"/>
      <x:c r="AB43" s="48"/>
      <x:c r="AC43" s="47"/>
      <x:c r="AD43" s="49"/>
      <x:c r="AE43" s="49"/>
      <x:c r="AF43" s="56"/>
      <x:c r="AG43" s="32" t="str">
        <x:f>IF($B43="","",IF(MAX($T43:$AA43)=0,"",TODAY()-MAX($T43:$AA43)))</x:f>
      </x:c>
      <x:c r="AH43" s="47"/>
      <x:c r="AI43" s="47"/>
    </x:row>
    <x:row r="44" ht="15" hidden="0" customHeight="1">
      <x:c r="A44" s="29" t="str">
        <x:f>IF($B44&lt;&gt;"","SS-"&amp;TEXT(ROW()-4,"000"),"")</x:f>
      </x:c>
      <x:c r="B44" s="47"/>
      <x:c r="C44" s="47"/>
      <x:c r="D44" s="47"/>
      <x:c r="E44" s="47"/>
      <x:c r="F44" s="47"/>
      <x:c r="G44" s="48"/>
      <x:c r="H44" s="47"/>
      <x:c r="I44" s="49"/>
      <x:c r="J44" s="49"/>
      <x:c r="K44" s="50"/>
      <x:c r="L44" s="50"/>
      <x:c r="M44" s="47"/>
      <x:c r="N44" s="47"/>
      <x:c r="O44" s="47"/>
      <x:c r="P44" s="47"/>
      <x:c r="Q44" s="29" t="str">
        <x:f>IF($B44="","",SUM($K44:$L44)+IF($M44="Yes",3,0)+IF($N44="Yes",3,0)+IF($O44="Yes",2,0)+IF($P44="Yes",2,0))</x:f>
      </x:c>
      <x:c r="R44" s="29" t="str">
        <x:f>IF($Q44="","",IF($Q44&gt;=15,"Qualified",IF($Q44&gt;=10,"Maybe","Low fit")))</x:f>
      </x:c>
      <x:c r="S44" s="47"/>
      <x:c r="T44" s="56"/>
      <x:c r="U44" s="56"/>
      <x:c r="V44" s="56"/>
      <x:c r="W44" s="56"/>
      <x:c r="X44" s="56"/>
      <x:c r="Y44" s="56"/>
      <x:c r="Z44" s="56"/>
      <x:c r="AA44" s="56"/>
      <x:c r="AB44" s="48"/>
      <x:c r="AC44" s="47"/>
      <x:c r="AD44" s="49"/>
      <x:c r="AE44" s="49"/>
      <x:c r="AF44" s="56"/>
      <x:c r="AG44" s="32" t="str">
        <x:f>IF($B44="","",IF(MAX($T44:$AA44)=0,"",TODAY()-MAX($T44:$AA44)))</x:f>
      </x:c>
      <x:c r="AH44" s="47"/>
      <x:c r="AI44" s="47"/>
    </x:row>
    <x:row r="45" ht="15" hidden="0" customHeight="1">
      <x:c r="A45" s="29" t="str">
        <x:f>IF($B45&lt;&gt;"","SS-"&amp;TEXT(ROW()-4,"000"),"")</x:f>
      </x:c>
      <x:c r="B45" s="47"/>
      <x:c r="C45" s="47"/>
      <x:c r="D45" s="47"/>
      <x:c r="E45" s="47"/>
      <x:c r="F45" s="47"/>
      <x:c r="G45" s="48"/>
      <x:c r="H45" s="47"/>
      <x:c r="I45" s="49"/>
      <x:c r="J45" s="49"/>
      <x:c r="K45" s="50"/>
      <x:c r="L45" s="50"/>
      <x:c r="M45" s="47"/>
      <x:c r="N45" s="47"/>
      <x:c r="O45" s="47"/>
      <x:c r="P45" s="47"/>
      <x:c r="Q45" s="29" t="str">
        <x:f>IF($B45="","",SUM($K45:$L45)+IF($M45="Yes",3,0)+IF($N45="Yes",3,0)+IF($O45="Yes",2,0)+IF($P45="Yes",2,0))</x:f>
      </x:c>
      <x:c r="R45" s="29" t="str">
        <x:f>IF($Q45="","",IF($Q45&gt;=15,"Qualified",IF($Q45&gt;=10,"Maybe","Low fit")))</x:f>
      </x:c>
      <x:c r="S45" s="47"/>
      <x:c r="T45" s="56"/>
      <x:c r="U45" s="56"/>
      <x:c r="V45" s="56"/>
      <x:c r="W45" s="56"/>
      <x:c r="X45" s="56"/>
      <x:c r="Y45" s="56"/>
      <x:c r="Z45" s="56"/>
      <x:c r="AA45" s="56"/>
      <x:c r="AB45" s="48"/>
      <x:c r="AC45" s="47"/>
      <x:c r="AD45" s="49"/>
      <x:c r="AE45" s="49"/>
      <x:c r="AF45" s="56"/>
      <x:c r="AG45" s="32" t="str">
        <x:f>IF($B45="","",IF(MAX($T45:$AA45)=0,"",TODAY()-MAX($T45:$AA45)))</x:f>
      </x:c>
      <x:c r="AH45" s="47"/>
      <x:c r="AI45" s="47"/>
    </x:row>
    <x:row r="46" ht="15" hidden="0" customHeight="1">
      <x:c r="A46" s="29" t="str">
        <x:f>IF($B46&lt;&gt;"","SS-"&amp;TEXT(ROW()-4,"000"),"")</x:f>
      </x:c>
      <x:c r="B46" s="47"/>
      <x:c r="C46" s="47"/>
      <x:c r="D46" s="47"/>
      <x:c r="E46" s="47"/>
      <x:c r="F46" s="47"/>
      <x:c r="G46" s="48"/>
      <x:c r="H46" s="47"/>
      <x:c r="I46" s="49"/>
      <x:c r="J46" s="49"/>
      <x:c r="K46" s="50"/>
      <x:c r="L46" s="50"/>
      <x:c r="M46" s="47"/>
      <x:c r="N46" s="47"/>
      <x:c r="O46" s="47"/>
      <x:c r="P46" s="47"/>
      <x:c r="Q46" s="29" t="str">
        <x:f>IF($B46="","",SUM($K46:$L46)+IF($M46="Yes",3,0)+IF($N46="Yes",3,0)+IF($O46="Yes",2,0)+IF($P46="Yes",2,0))</x:f>
      </x:c>
      <x:c r="R46" s="29" t="str">
        <x:f>IF($Q46="","",IF($Q46&gt;=15,"Qualified",IF($Q46&gt;=10,"Maybe","Low fit")))</x:f>
      </x:c>
      <x:c r="S46" s="47"/>
      <x:c r="T46" s="56"/>
      <x:c r="U46" s="56"/>
      <x:c r="V46" s="56"/>
      <x:c r="W46" s="56"/>
      <x:c r="X46" s="56"/>
      <x:c r="Y46" s="56"/>
      <x:c r="Z46" s="56"/>
      <x:c r="AA46" s="56"/>
      <x:c r="AB46" s="48"/>
      <x:c r="AC46" s="47"/>
      <x:c r="AD46" s="49"/>
      <x:c r="AE46" s="49"/>
      <x:c r="AF46" s="56"/>
      <x:c r="AG46" s="32" t="str">
        <x:f>IF($B46="","",IF(MAX($T46:$AA46)=0,"",TODAY()-MAX($T46:$AA46)))</x:f>
      </x:c>
      <x:c r="AH46" s="47"/>
      <x:c r="AI46" s="47"/>
    </x:row>
    <x:row r="47" ht="15" hidden="0" customHeight="1">
      <x:c r="A47" s="29" t="str">
        <x:f>IF($B47&lt;&gt;"","SS-"&amp;TEXT(ROW()-4,"000"),"")</x:f>
      </x:c>
      <x:c r="B47" s="47"/>
      <x:c r="C47" s="47"/>
      <x:c r="D47" s="47"/>
      <x:c r="E47" s="47"/>
      <x:c r="F47" s="47"/>
      <x:c r="G47" s="48"/>
      <x:c r="H47" s="47"/>
      <x:c r="I47" s="49"/>
      <x:c r="J47" s="49"/>
      <x:c r="K47" s="50"/>
      <x:c r="L47" s="50"/>
      <x:c r="M47" s="47"/>
      <x:c r="N47" s="47"/>
      <x:c r="O47" s="47"/>
      <x:c r="P47" s="47"/>
      <x:c r="Q47" s="29" t="str">
        <x:f>IF($B47="","",SUM($K47:$L47)+IF($M47="Yes",3,0)+IF($N47="Yes",3,0)+IF($O47="Yes",2,0)+IF($P47="Yes",2,0))</x:f>
      </x:c>
      <x:c r="R47" s="29" t="str">
        <x:f>IF($Q47="","",IF($Q47&gt;=15,"Qualified",IF($Q47&gt;=10,"Maybe","Low fit")))</x:f>
      </x:c>
      <x:c r="S47" s="47"/>
      <x:c r="T47" s="56"/>
      <x:c r="U47" s="56"/>
      <x:c r="V47" s="56"/>
      <x:c r="W47" s="56"/>
      <x:c r="X47" s="56"/>
      <x:c r="Y47" s="56"/>
      <x:c r="Z47" s="56"/>
      <x:c r="AA47" s="56"/>
      <x:c r="AB47" s="48"/>
      <x:c r="AC47" s="47"/>
      <x:c r="AD47" s="49"/>
      <x:c r="AE47" s="49"/>
      <x:c r="AF47" s="56"/>
      <x:c r="AG47" s="32" t="str">
        <x:f>IF($B47="","",IF(MAX($T47:$AA47)=0,"",TODAY()-MAX($T47:$AA47)))</x:f>
      </x:c>
      <x:c r="AH47" s="47"/>
      <x:c r="AI47" s="47"/>
    </x:row>
    <x:row r="48" ht="15" hidden="0" customHeight="1">
      <x:c r="A48" s="29" t="str">
        <x:f>IF($B48&lt;&gt;"","SS-"&amp;TEXT(ROW()-4,"000"),"")</x:f>
      </x:c>
      <x:c r="B48" s="47"/>
      <x:c r="C48" s="47"/>
      <x:c r="D48" s="47"/>
      <x:c r="E48" s="47"/>
      <x:c r="F48" s="47"/>
      <x:c r="G48" s="48"/>
      <x:c r="H48" s="47"/>
      <x:c r="I48" s="49"/>
      <x:c r="J48" s="49"/>
      <x:c r="K48" s="50"/>
      <x:c r="L48" s="50"/>
      <x:c r="M48" s="47"/>
      <x:c r="N48" s="47"/>
      <x:c r="O48" s="47"/>
      <x:c r="P48" s="47"/>
      <x:c r="Q48" s="29" t="str">
        <x:f>IF($B48="","",SUM($K48:$L48)+IF($M48="Yes",3,0)+IF($N48="Yes",3,0)+IF($O48="Yes",2,0)+IF($P48="Yes",2,0))</x:f>
      </x:c>
      <x:c r="R48" s="29" t="str">
        <x:f>IF($Q48="","",IF($Q48&gt;=15,"Qualified",IF($Q48&gt;=10,"Maybe","Low fit")))</x:f>
      </x:c>
      <x:c r="S48" s="47"/>
      <x:c r="T48" s="56"/>
      <x:c r="U48" s="56"/>
      <x:c r="V48" s="56"/>
      <x:c r="W48" s="56"/>
      <x:c r="X48" s="56"/>
      <x:c r="Y48" s="56"/>
      <x:c r="Z48" s="56"/>
      <x:c r="AA48" s="56"/>
      <x:c r="AB48" s="48"/>
      <x:c r="AC48" s="47"/>
      <x:c r="AD48" s="49"/>
      <x:c r="AE48" s="49"/>
      <x:c r="AF48" s="56"/>
      <x:c r="AG48" s="32" t="str">
        <x:f>IF($B48="","",IF(MAX($T48:$AA48)=0,"",TODAY()-MAX($T48:$AA48)))</x:f>
      </x:c>
      <x:c r="AH48" s="47"/>
      <x:c r="AI48" s="47"/>
    </x:row>
    <x:row r="49" ht="15" hidden="0" customHeight="1">
      <x:c r="A49" s="29" t="str">
        <x:f>IF($B49&lt;&gt;"","SS-"&amp;TEXT(ROW()-4,"000"),"")</x:f>
      </x:c>
      <x:c r="B49" s="47"/>
      <x:c r="C49" s="47"/>
      <x:c r="D49" s="47"/>
      <x:c r="E49" s="47"/>
      <x:c r="F49" s="47"/>
      <x:c r="G49" s="48"/>
      <x:c r="H49" s="47"/>
      <x:c r="I49" s="49"/>
      <x:c r="J49" s="49"/>
      <x:c r="K49" s="50"/>
      <x:c r="L49" s="50"/>
      <x:c r="M49" s="47"/>
      <x:c r="N49" s="47"/>
      <x:c r="O49" s="47"/>
      <x:c r="P49" s="47"/>
      <x:c r="Q49" s="29" t="str">
        <x:f>IF($B49="","",SUM($K49:$L49)+IF($M49="Yes",3,0)+IF($N49="Yes",3,0)+IF($O49="Yes",2,0)+IF($P49="Yes",2,0))</x:f>
      </x:c>
      <x:c r="R49" s="29" t="str">
        <x:f>IF($Q49="","",IF($Q49&gt;=15,"Qualified",IF($Q49&gt;=10,"Maybe","Low fit")))</x:f>
      </x:c>
      <x:c r="S49" s="47"/>
      <x:c r="T49" s="56"/>
      <x:c r="U49" s="56"/>
      <x:c r="V49" s="56"/>
      <x:c r="W49" s="56"/>
      <x:c r="X49" s="56"/>
      <x:c r="Y49" s="56"/>
      <x:c r="Z49" s="56"/>
      <x:c r="AA49" s="56"/>
      <x:c r="AB49" s="48"/>
      <x:c r="AC49" s="47"/>
      <x:c r="AD49" s="49"/>
      <x:c r="AE49" s="49"/>
      <x:c r="AF49" s="56"/>
      <x:c r="AG49" s="32" t="str">
        <x:f>IF($B49="","",IF(MAX($T49:$AA49)=0,"",TODAY()-MAX($T49:$AA49)))</x:f>
      </x:c>
      <x:c r="AH49" s="47"/>
      <x:c r="AI49" s="47"/>
    </x:row>
    <x:row r="50" ht="15" hidden="0" customHeight="1">
      <x:c r="A50" s="29" t="str">
        <x:f>IF($B50&lt;&gt;"","SS-"&amp;TEXT(ROW()-4,"000"),"")</x:f>
      </x:c>
      <x:c r="B50" s="47"/>
      <x:c r="C50" s="47"/>
      <x:c r="D50" s="47"/>
      <x:c r="E50" s="47"/>
      <x:c r="F50" s="47"/>
      <x:c r="G50" s="48"/>
      <x:c r="H50" s="47"/>
      <x:c r="I50" s="49"/>
      <x:c r="J50" s="49"/>
      <x:c r="K50" s="50"/>
      <x:c r="L50" s="50"/>
      <x:c r="M50" s="47"/>
      <x:c r="N50" s="47"/>
      <x:c r="O50" s="47"/>
      <x:c r="P50" s="47"/>
      <x:c r="Q50" s="29" t="str">
        <x:f>IF($B50="","",SUM($K50:$L50)+IF($M50="Yes",3,0)+IF($N50="Yes",3,0)+IF($O50="Yes",2,0)+IF($P50="Yes",2,0))</x:f>
      </x:c>
      <x:c r="R50" s="29" t="str">
        <x:f>IF($Q50="","",IF($Q50&gt;=15,"Qualified",IF($Q50&gt;=10,"Maybe","Low fit")))</x:f>
      </x:c>
      <x:c r="S50" s="47"/>
      <x:c r="T50" s="56"/>
      <x:c r="U50" s="56"/>
      <x:c r="V50" s="56"/>
      <x:c r="W50" s="56"/>
      <x:c r="X50" s="56"/>
      <x:c r="Y50" s="56"/>
      <x:c r="Z50" s="56"/>
      <x:c r="AA50" s="56"/>
      <x:c r="AB50" s="48"/>
      <x:c r="AC50" s="47"/>
      <x:c r="AD50" s="49"/>
      <x:c r="AE50" s="49"/>
      <x:c r="AF50" s="56"/>
      <x:c r="AG50" s="32" t="str">
        <x:f>IF($B50="","",IF(MAX($T50:$AA50)=0,"",TODAY()-MAX($T50:$AA50)))</x:f>
      </x:c>
      <x:c r="AH50" s="47"/>
      <x:c r="AI50" s="47"/>
    </x:row>
    <x:row r="51" ht="15" hidden="0" customHeight="1">
      <x:c r="A51" s="29" t="str">
        <x:f>IF($B51&lt;&gt;"","SS-"&amp;TEXT(ROW()-4,"000"),"")</x:f>
      </x:c>
      <x:c r="B51" s="47"/>
      <x:c r="C51" s="47"/>
      <x:c r="D51" s="47"/>
      <x:c r="E51" s="47"/>
      <x:c r="F51" s="47"/>
      <x:c r="G51" s="48"/>
      <x:c r="H51" s="47"/>
      <x:c r="I51" s="49"/>
      <x:c r="J51" s="49"/>
      <x:c r="K51" s="50"/>
      <x:c r="L51" s="50"/>
      <x:c r="M51" s="47"/>
      <x:c r="N51" s="47"/>
      <x:c r="O51" s="47"/>
      <x:c r="P51" s="47"/>
      <x:c r="Q51" s="29" t="str">
        <x:f>IF($B51="","",SUM($K51:$L51)+IF($M51="Yes",3,0)+IF($N51="Yes",3,0)+IF($O51="Yes",2,0)+IF($P51="Yes",2,0))</x:f>
      </x:c>
      <x:c r="R51" s="29" t="str">
        <x:f>IF($Q51="","",IF($Q51&gt;=15,"Qualified",IF($Q51&gt;=10,"Maybe","Low fit")))</x:f>
      </x:c>
      <x:c r="S51" s="47"/>
      <x:c r="T51" s="56"/>
      <x:c r="U51" s="56"/>
      <x:c r="V51" s="56"/>
      <x:c r="W51" s="56"/>
      <x:c r="X51" s="56"/>
      <x:c r="Y51" s="56"/>
      <x:c r="Z51" s="56"/>
      <x:c r="AA51" s="56"/>
      <x:c r="AB51" s="48"/>
      <x:c r="AC51" s="47"/>
      <x:c r="AD51" s="49"/>
      <x:c r="AE51" s="49"/>
      <x:c r="AF51" s="56"/>
      <x:c r="AG51" s="32" t="str">
        <x:f>IF($B51="","",IF(MAX($T51:$AA51)=0,"",TODAY()-MAX($T51:$AA51)))</x:f>
      </x:c>
      <x:c r="AH51" s="47"/>
      <x:c r="AI51" s="47"/>
    </x:row>
    <x:row r="52" ht="15" hidden="0" customHeight="1">
      <x:c r="A52" s="29" t="str">
        <x:f>IF($B52&lt;&gt;"","SS-"&amp;TEXT(ROW()-4,"000"),"")</x:f>
      </x:c>
      <x:c r="B52" s="47"/>
      <x:c r="C52" s="47"/>
      <x:c r="D52" s="47"/>
      <x:c r="E52" s="47"/>
      <x:c r="F52" s="47"/>
      <x:c r="G52" s="48"/>
      <x:c r="H52" s="47"/>
      <x:c r="I52" s="49"/>
      <x:c r="J52" s="49"/>
      <x:c r="K52" s="50"/>
      <x:c r="L52" s="50"/>
      <x:c r="M52" s="47"/>
      <x:c r="N52" s="47"/>
      <x:c r="O52" s="47"/>
      <x:c r="P52" s="47"/>
      <x:c r="Q52" s="29" t="str">
        <x:f>IF($B52="","",SUM($K52:$L52)+IF($M52="Yes",3,0)+IF($N52="Yes",3,0)+IF($O52="Yes",2,0)+IF($P52="Yes",2,0))</x:f>
      </x:c>
      <x:c r="R52" s="29" t="str">
        <x:f>IF($Q52="","",IF($Q52&gt;=15,"Qualified",IF($Q52&gt;=10,"Maybe","Low fit")))</x:f>
      </x:c>
      <x:c r="S52" s="47"/>
      <x:c r="T52" s="56"/>
      <x:c r="U52" s="56"/>
      <x:c r="V52" s="56"/>
      <x:c r="W52" s="56"/>
      <x:c r="X52" s="56"/>
      <x:c r="Y52" s="56"/>
      <x:c r="Z52" s="56"/>
      <x:c r="AA52" s="56"/>
      <x:c r="AB52" s="48"/>
      <x:c r="AC52" s="47"/>
      <x:c r="AD52" s="49"/>
      <x:c r="AE52" s="49"/>
      <x:c r="AF52" s="56"/>
      <x:c r="AG52" s="32" t="str">
        <x:f>IF($B52="","",IF(MAX($T52:$AA52)=0,"",TODAY()-MAX($T52:$AA52)))</x:f>
      </x:c>
      <x:c r="AH52" s="47"/>
      <x:c r="AI52" s="47"/>
    </x:row>
    <x:row r="53" ht="15" hidden="0" customHeight="1">
      <x:c r="A53" s="29" t="str">
        <x:f>IF($B53&lt;&gt;"","SS-"&amp;TEXT(ROW()-4,"000"),"")</x:f>
      </x:c>
      <x:c r="B53" s="47"/>
      <x:c r="C53" s="47"/>
      <x:c r="D53" s="47"/>
      <x:c r="E53" s="47"/>
      <x:c r="F53" s="47"/>
      <x:c r="G53" s="48"/>
      <x:c r="H53" s="47"/>
      <x:c r="I53" s="49"/>
      <x:c r="J53" s="49"/>
      <x:c r="K53" s="50"/>
      <x:c r="L53" s="50"/>
      <x:c r="M53" s="47"/>
      <x:c r="N53" s="47"/>
      <x:c r="O53" s="47"/>
      <x:c r="P53" s="47"/>
      <x:c r="Q53" s="29" t="str">
        <x:f>IF($B53="","",SUM($K53:$L53)+IF($M53="Yes",3,0)+IF($N53="Yes",3,0)+IF($O53="Yes",2,0)+IF($P53="Yes",2,0))</x:f>
      </x:c>
      <x:c r="R53" s="29" t="str">
        <x:f>IF($Q53="","",IF($Q53&gt;=15,"Qualified",IF($Q53&gt;=10,"Maybe","Low fit")))</x:f>
      </x:c>
      <x:c r="S53" s="47"/>
      <x:c r="T53" s="56"/>
      <x:c r="U53" s="56"/>
      <x:c r="V53" s="56"/>
      <x:c r="W53" s="56"/>
      <x:c r="X53" s="56"/>
      <x:c r="Y53" s="56"/>
      <x:c r="Z53" s="56"/>
      <x:c r="AA53" s="56"/>
      <x:c r="AB53" s="48"/>
      <x:c r="AC53" s="47"/>
      <x:c r="AD53" s="49"/>
      <x:c r="AE53" s="49"/>
      <x:c r="AF53" s="56"/>
      <x:c r="AG53" s="32" t="str">
        <x:f>IF($B53="","",IF(MAX($T53:$AA53)=0,"",TODAY()-MAX($T53:$AA53)))</x:f>
      </x:c>
      <x:c r="AH53" s="47"/>
      <x:c r="AI53" s="47"/>
    </x:row>
    <x:row r="54" ht="15" hidden="0" customHeight="1">
      <x:c r="A54" s="29" t="str">
        <x:f>IF($B54&lt;&gt;"","SS-"&amp;TEXT(ROW()-4,"000"),"")</x:f>
      </x:c>
      <x:c r="B54" s="47"/>
      <x:c r="C54" s="47"/>
      <x:c r="D54" s="47"/>
      <x:c r="E54" s="47"/>
      <x:c r="F54" s="47"/>
      <x:c r="G54" s="48"/>
      <x:c r="H54" s="47"/>
      <x:c r="I54" s="49"/>
      <x:c r="J54" s="49"/>
      <x:c r="K54" s="50"/>
      <x:c r="L54" s="50"/>
      <x:c r="M54" s="47"/>
      <x:c r="N54" s="47"/>
      <x:c r="O54" s="47"/>
      <x:c r="P54" s="47"/>
      <x:c r="Q54" s="29" t="str">
        <x:f>IF($B54="","",SUM($K54:$L54)+IF($M54="Yes",3,0)+IF($N54="Yes",3,0)+IF($O54="Yes",2,0)+IF($P54="Yes",2,0))</x:f>
      </x:c>
      <x:c r="R54" s="29" t="str">
        <x:f>IF($Q54="","",IF($Q54&gt;=15,"Qualified",IF($Q54&gt;=10,"Maybe","Low fit")))</x:f>
      </x:c>
      <x:c r="S54" s="47"/>
      <x:c r="T54" s="56"/>
      <x:c r="U54" s="56"/>
      <x:c r="V54" s="56"/>
      <x:c r="W54" s="56"/>
      <x:c r="X54" s="56"/>
      <x:c r="Y54" s="56"/>
      <x:c r="Z54" s="56"/>
      <x:c r="AA54" s="56"/>
      <x:c r="AB54" s="48"/>
      <x:c r="AC54" s="47"/>
      <x:c r="AD54" s="49"/>
      <x:c r="AE54" s="49"/>
      <x:c r="AF54" s="56"/>
      <x:c r="AG54" s="32" t="str">
        <x:f>IF($B54="","",IF(MAX($T54:$AA54)=0,"",TODAY()-MAX($T54:$AA54)))</x:f>
      </x:c>
      <x:c r="AH54" s="47"/>
      <x:c r="AI54" s="47"/>
    </x:row>
    <x:row r="55" ht="15" hidden="0" customHeight="1">
      <x:c r="A55" s="29" t="str">
        <x:f>IF($B55&lt;&gt;"","SS-"&amp;TEXT(ROW()-4,"000"),"")</x:f>
      </x:c>
      <x:c r="B55" s="47"/>
      <x:c r="C55" s="47"/>
      <x:c r="D55" s="47"/>
      <x:c r="E55" s="47"/>
      <x:c r="F55" s="47"/>
      <x:c r="G55" s="48"/>
      <x:c r="H55" s="47"/>
      <x:c r="I55" s="49"/>
      <x:c r="J55" s="49"/>
      <x:c r="K55" s="50"/>
      <x:c r="L55" s="50"/>
      <x:c r="M55" s="47"/>
      <x:c r="N55" s="47"/>
      <x:c r="O55" s="47"/>
      <x:c r="P55" s="47"/>
      <x:c r="Q55" s="29" t="str">
        <x:f>IF($B55="","",SUM($K55:$L55)+IF($M55="Yes",3,0)+IF($N55="Yes",3,0)+IF($O55="Yes",2,0)+IF($P55="Yes",2,0))</x:f>
      </x:c>
      <x:c r="R55" s="29" t="str">
        <x:f>IF($Q55="","",IF($Q55&gt;=15,"Qualified",IF($Q55&gt;=10,"Maybe","Low fit")))</x:f>
      </x:c>
      <x:c r="S55" s="47"/>
      <x:c r="T55" s="56"/>
      <x:c r="U55" s="56"/>
      <x:c r="V55" s="56"/>
      <x:c r="W55" s="56"/>
      <x:c r="X55" s="56"/>
      <x:c r="Y55" s="56"/>
      <x:c r="Z55" s="56"/>
      <x:c r="AA55" s="56"/>
      <x:c r="AB55" s="48"/>
      <x:c r="AC55" s="47"/>
      <x:c r="AD55" s="49"/>
      <x:c r="AE55" s="49"/>
      <x:c r="AF55" s="56"/>
      <x:c r="AG55" s="32" t="str">
        <x:f>IF($B55="","",IF(MAX($T55:$AA55)=0,"",TODAY()-MAX($T55:$AA55)))</x:f>
      </x:c>
      <x:c r="AH55" s="47"/>
      <x:c r="AI55" s="47"/>
    </x:row>
    <x:row r="56" ht="15" hidden="0" customHeight="1">
      <x:c r="A56" s="29" t="str">
        <x:f>IF($B56&lt;&gt;"","SS-"&amp;TEXT(ROW()-4,"000"),"")</x:f>
      </x:c>
      <x:c r="B56" s="47"/>
      <x:c r="C56" s="47"/>
      <x:c r="D56" s="47"/>
      <x:c r="E56" s="47"/>
      <x:c r="F56" s="47"/>
      <x:c r="G56" s="48"/>
      <x:c r="H56" s="47"/>
      <x:c r="I56" s="49"/>
      <x:c r="J56" s="49"/>
      <x:c r="K56" s="50"/>
      <x:c r="L56" s="50"/>
      <x:c r="M56" s="47"/>
      <x:c r="N56" s="47"/>
      <x:c r="O56" s="47"/>
      <x:c r="P56" s="47"/>
      <x:c r="Q56" s="29" t="str">
        <x:f>IF($B56="","",SUM($K56:$L56)+IF($M56="Yes",3,0)+IF($N56="Yes",3,0)+IF($O56="Yes",2,0)+IF($P56="Yes",2,0))</x:f>
      </x:c>
      <x:c r="R56" s="29" t="str">
        <x:f>IF($Q56="","",IF($Q56&gt;=15,"Qualified",IF($Q56&gt;=10,"Maybe","Low fit")))</x:f>
      </x:c>
      <x:c r="S56" s="47"/>
      <x:c r="T56" s="56"/>
      <x:c r="U56" s="56"/>
      <x:c r="V56" s="56"/>
      <x:c r="W56" s="56"/>
      <x:c r="X56" s="56"/>
      <x:c r="Y56" s="56"/>
      <x:c r="Z56" s="56"/>
      <x:c r="AA56" s="56"/>
      <x:c r="AB56" s="48"/>
      <x:c r="AC56" s="47"/>
      <x:c r="AD56" s="49"/>
      <x:c r="AE56" s="49"/>
      <x:c r="AF56" s="56"/>
      <x:c r="AG56" s="32" t="str">
        <x:f>IF($B56="","",IF(MAX($T56:$AA56)=0,"",TODAY()-MAX($T56:$AA56)))</x:f>
      </x:c>
      <x:c r="AH56" s="47"/>
      <x:c r="AI56" s="47"/>
    </x:row>
    <x:row r="57" ht="15" hidden="0" customHeight="1">
      <x:c r="A57" s="29" t="str">
        <x:f>IF($B57&lt;&gt;"","SS-"&amp;TEXT(ROW()-4,"000"),"")</x:f>
      </x:c>
      <x:c r="B57" s="47"/>
      <x:c r="C57" s="47"/>
      <x:c r="D57" s="47"/>
      <x:c r="E57" s="47"/>
      <x:c r="F57" s="47"/>
      <x:c r="G57" s="48"/>
      <x:c r="H57" s="47"/>
      <x:c r="I57" s="49"/>
      <x:c r="J57" s="49"/>
      <x:c r="K57" s="50"/>
      <x:c r="L57" s="50"/>
      <x:c r="M57" s="47"/>
      <x:c r="N57" s="47"/>
      <x:c r="O57" s="47"/>
      <x:c r="P57" s="47"/>
      <x:c r="Q57" s="29" t="str">
        <x:f>IF($B57="","",SUM($K57:$L57)+IF($M57="Yes",3,0)+IF($N57="Yes",3,0)+IF($O57="Yes",2,0)+IF($P57="Yes",2,0))</x:f>
      </x:c>
      <x:c r="R57" s="29" t="str">
        <x:f>IF($Q57="","",IF($Q57&gt;=15,"Qualified",IF($Q57&gt;=10,"Maybe","Low fit")))</x:f>
      </x:c>
      <x:c r="S57" s="47"/>
      <x:c r="T57" s="56"/>
      <x:c r="U57" s="56"/>
      <x:c r="V57" s="56"/>
      <x:c r="W57" s="56"/>
      <x:c r="X57" s="56"/>
      <x:c r="Y57" s="56"/>
      <x:c r="Z57" s="56"/>
      <x:c r="AA57" s="56"/>
      <x:c r="AB57" s="48"/>
      <x:c r="AC57" s="47"/>
      <x:c r="AD57" s="49"/>
      <x:c r="AE57" s="49"/>
      <x:c r="AF57" s="56"/>
      <x:c r="AG57" s="32" t="str">
        <x:f>IF($B57="","",IF(MAX($T57:$AA57)=0,"",TODAY()-MAX($T57:$AA57)))</x:f>
      </x:c>
      <x:c r="AH57" s="47"/>
      <x:c r="AI57" s="47"/>
    </x:row>
    <x:row r="58" ht="15" hidden="0" customHeight="1">
      <x:c r="A58" s="29" t="str">
        <x:f>IF($B58&lt;&gt;"","SS-"&amp;TEXT(ROW()-4,"000"),"")</x:f>
      </x:c>
      <x:c r="B58" s="47"/>
      <x:c r="C58" s="47"/>
      <x:c r="D58" s="47"/>
      <x:c r="E58" s="47"/>
      <x:c r="F58" s="47"/>
      <x:c r="G58" s="48"/>
      <x:c r="H58" s="47"/>
      <x:c r="I58" s="49"/>
      <x:c r="J58" s="49"/>
      <x:c r="K58" s="50"/>
      <x:c r="L58" s="50"/>
      <x:c r="M58" s="47"/>
      <x:c r="N58" s="47"/>
      <x:c r="O58" s="47"/>
      <x:c r="P58" s="47"/>
      <x:c r="Q58" s="29" t="str">
        <x:f>IF($B58="","",SUM($K58:$L58)+IF($M58="Yes",3,0)+IF($N58="Yes",3,0)+IF($O58="Yes",2,0)+IF($P58="Yes",2,0))</x:f>
      </x:c>
      <x:c r="R58" s="29" t="str">
        <x:f>IF($Q58="","",IF($Q58&gt;=15,"Qualified",IF($Q58&gt;=10,"Maybe","Low fit")))</x:f>
      </x:c>
      <x:c r="S58" s="47"/>
      <x:c r="T58" s="56"/>
      <x:c r="U58" s="56"/>
      <x:c r="V58" s="56"/>
      <x:c r="W58" s="56"/>
      <x:c r="X58" s="56"/>
      <x:c r="Y58" s="56"/>
      <x:c r="Z58" s="56"/>
      <x:c r="AA58" s="56"/>
      <x:c r="AB58" s="48"/>
      <x:c r="AC58" s="47"/>
      <x:c r="AD58" s="49"/>
      <x:c r="AE58" s="49"/>
      <x:c r="AF58" s="56"/>
      <x:c r="AG58" s="32" t="str">
        <x:f>IF($B58="","",IF(MAX($T58:$AA58)=0,"",TODAY()-MAX($T58:$AA58)))</x:f>
      </x:c>
      <x:c r="AH58" s="47"/>
      <x:c r="AI58" s="47"/>
    </x:row>
    <x:row r="59" ht="15" hidden="0" customHeight="1">
      <x:c r="A59" s="29" t="str">
        <x:f>IF($B59&lt;&gt;"","SS-"&amp;TEXT(ROW()-4,"000"),"")</x:f>
      </x:c>
      <x:c r="B59" s="47"/>
      <x:c r="C59" s="47"/>
      <x:c r="D59" s="47"/>
      <x:c r="E59" s="47"/>
      <x:c r="F59" s="47"/>
      <x:c r="G59" s="48"/>
      <x:c r="H59" s="47"/>
      <x:c r="I59" s="49"/>
      <x:c r="J59" s="49"/>
      <x:c r="K59" s="50"/>
      <x:c r="L59" s="50"/>
      <x:c r="M59" s="47"/>
      <x:c r="N59" s="47"/>
      <x:c r="O59" s="47"/>
      <x:c r="P59" s="47"/>
      <x:c r="Q59" s="29" t="str">
        <x:f>IF($B59="","",SUM($K59:$L59)+IF($M59="Yes",3,0)+IF($N59="Yes",3,0)+IF($O59="Yes",2,0)+IF($P59="Yes",2,0))</x:f>
      </x:c>
      <x:c r="R59" s="29" t="str">
        <x:f>IF($Q59="","",IF($Q59&gt;=15,"Qualified",IF($Q59&gt;=10,"Maybe","Low fit")))</x:f>
      </x:c>
      <x:c r="S59" s="47"/>
      <x:c r="T59" s="56"/>
      <x:c r="U59" s="56"/>
      <x:c r="V59" s="56"/>
      <x:c r="W59" s="56"/>
      <x:c r="X59" s="56"/>
      <x:c r="Y59" s="56"/>
      <x:c r="Z59" s="56"/>
      <x:c r="AA59" s="56"/>
      <x:c r="AB59" s="48"/>
      <x:c r="AC59" s="47"/>
      <x:c r="AD59" s="49"/>
      <x:c r="AE59" s="49"/>
      <x:c r="AF59" s="56"/>
      <x:c r="AG59" s="32" t="str">
        <x:f>IF($B59="","",IF(MAX($T59:$AA59)=0,"",TODAY()-MAX($T59:$AA59)))</x:f>
      </x:c>
      <x:c r="AH59" s="47"/>
      <x:c r="AI59" s="47"/>
    </x:row>
    <x:row r="60" ht="15" hidden="0" customHeight="1">
      <x:c r="A60" s="29" t="str">
        <x:f>IF($B60&lt;&gt;"","SS-"&amp;TEXT(ROW()-4,"000"),"")</x:f>
      </x:c>
      <x:c r="B60" s="47"/>
      <x:c r="C60" s="47"/>
      <x:c r="D60" s="47"/>
      <x:c r="E60" s="47"/>
      <x:c r="F60" s="47"/>
      <x:c r="G60" s="48"/>
      <x:c r="H60" s="47"/>
      <x:c r="I60" s="49"/>
      <x:c r="J60" s="49"/>
      <x:c r="K60" s="50"/>
      <x:c r="L60" s="50"/>
      <x:c r="M60" s="47"/>
      <x:c r="N60" s="47"/>
      <x:c r="O60" s="47"/>
      <x:c r="P60" s="47"/>
      <x:c r="Q60" s="29" t="str">
        <x:f>IF($B60="","",SUM($K60:$L60)+IF($M60="Yes",3,0)+IF($N60="Yes",3,0)+IF($O60="Yes",2,0)+IF($P60="Yes",2,0))</x:f>
      </x:c>
      <x:c r="R60" s="29" t="str">
        <x:f>IF($Q60="","",IF($Q60&gt;=15,"Qualified",IF($Q60&gt;=10,"Maybe","Low fit")))</x:f>
      </x:c>
      <x:c r="S60" s="47"/>
      <x:c r="T60" s="56"/>
      <x:c r="U60" s="56"/>
      <x:c r="V60" s="56"/>
      <x:c r="W60" s="56"/>
      <x:c r="X60" s="56"/>
      <x:c r="Y60" s="56"/>
      <x:c r="Z60" s="56"/>
      <x:c r="AA60" s="56"/>
      <x:c r="AB60" s="48"/>
      <x:c r="AC60" s="47"/>
      <x:c r="AD60" s="49"/>
      <x:c r="AE60" s="49"/>
      <x:c r="AF60" s="56"/>
      <x:c r="AG60" s="32" t="str">
        <x:f>IF($B60="","",IF(MAX($T60:$AA60)=0,"",TODAY()-MAX($T60:$AA60)))</x:f>
      </x:c>
      <x:c r="AH60" s="47"/>
      <x:c r="AI60" s="47"/>
    </x:row>
    <x:row r="61" ht="15" hidden="0" customHeight="1">
      <x:c r="A61" s="29" t="str">
        <x:f>IF($B61&lt;&gt;"","SS-"&amp;TEXT(ROW()-4,"000"),"")</x:f>
      </x:c>
      <x:c r="B61" s="47"/>
      <x:c r="C61" s="47"/>
      <x:c r="D61" s="47"/>
      <x:c r="E61" s="47"/>
      <x:c r="F61" s="47"/>
      <x:c r="G61" s="48"/>
      <x:c r="H61" s="47"/>
      <x:c r="I61" s="49"/>
      <x:c r="J61" s="49"/>
      <x:c r="K61" s="50"/>
      <x:c r="L61" s="50"/>
      <x:c r="M61" s="47"/>
      <x:c r="N61" s="47"/>
      <x:c r="O61" s="47"/>
      <x:c r="P61" s="47"/>
      <x:c r="Q61" s="29" t="str">
        <x:f>IF($B61="","",SUM($K61:$L61)+IF($M61="Yes",3,0)+IF($N61="Yes",3,0)+IF($O61="Yes",2,0)+IF($P61="Yes",2,0))</x:f>
      </x:c>
      <x:c r="R61" s="29" t="str">
        <x:f>IF($Q61="","",IF($Q61&gt;=15,"Qualified",IF($Q61&gt;=10,"Maybe","Low fit")))</x:f>
      </x:c>
      <x:c r="S61" s="47"/>
      <x:c r="T61" s="56"/>
      <x:c r="U61" s="56"/>
      <x:c r="V61" s="56"/>
      <x:c r="W61" s="56"/>
      <x:c r="X61" s="56"/>
      <x:c r="Y61" s="56"/>
      <x:c r="Z61" s="56"/>
      <x:c r="AA61" s="56"/>
      <x:c r="AB61" s="48"/>
      <x:c r="AC61" s="47"/>
      <x:c r="AD61" s="49"/>
      <x:c r="AE61" s="49"/>
      <x:c r="AF61" s="56"/>
      <x:c r="AG61" s="32" t="str">
        <x:f>IF($B61="","",IF(MAX($T61:$AA61)=0,"",TODAY()-MAX($T61:$AA61)))</x:f>
      </x:c>
      <x:c r="AH61" s="47"/>
      <x:c r="AI61" s="47"/>
    </x:row>
    <x:row r="62" ht="15" hidden="0" customHeight="1">
      <x:c r="A62" s="29" t="str">
        <x:f>IF($B62&lt;&gt;"","SS-"&amp;TEXT(ROW()-4,"000"),"")</x:f>
      </x:c>
      <x:c r="B62" s="47"/>
      <x:c r="C62" s="47"/>
      <x:c r="D62" s="47"/>
      <x:c r="E62" s="47"/>
      <x:c r="F62" s="47"/>
      <x:c r="G62" s="48"/>
      <x:c r="H62" s="47"/>
      <x:c r="I62" s="49"/>
      <x:c r="J62" s="49"/>
      <x:c r="K62" s="50"/>
      <x:c r="L62" s="50"/>
      <x:c r="M62" s="47"/>
      <x:c r="N62" s="47"/>
      <x:c r="O62" s="47"/>
      <x:c r="P62" s="47"/>
      <x:c r="Q62" s="29" t="str">
        <x:f>IF($B62="","",SUM($K62:$L62)+IF($M62="Yes",3,0)+IF($N62="Yes",3,0)+IF($O62="Yes",2,0)+IF($P62="Yes",2,0))</x:f>
      </x:c>
      <x:c r="R62" s="29" t="str">
        <x:f>IF($Q62="","",IF($Q62&gt;=15,"Qualified",IF($Q62&gt;=10,"Maybe","Low fit")))</x:f>
      </x:c>
      <x:c r="S62" s="47"/>
      <x:c r="T62" s="56"/>
      <x:c r="U62" s="56"/>
      <x:c r="V62" s="56"/>
      <x:c r="W62" s="56"/>
      <x:c r="X62" s="56"/>
      <x:c r="Y62" s="56"/>
      <x:c r="Z62" s="56"/>
      <x:c r="AA62" s="56"/>
      <x:c r="AB62" s="48"/>
      <x:c r="AC62" s="47"/>
      <x:c r="AD62" s="49"/>
      <x:c r="AE62" s="49"/>
      <x:c r="AF62" s="56"/>
      <x:c r="AG62" s="32" t="str">
        <x:f>IF($B62="","",IF(MAX($T62:$AA62)=0,"",TODAY()-MAX($T62:$AA62)))</x:f>
      </x:c>
      <x:c r="AH62" s="47"/>
      <x:c r="AI62" s="47"/>
    </x:row>
    <x:row r="63" ht="15" hidden="0" customHeight="1">
      <x:c r="A63" s="29" t="str">
        <x:f>IF($B63&lt;&gt;"","SS-"&amp;TEXT(ROW()-4,"000"),"")</x:f>
      </x:c>
      <x:c r="B63" s="47"/>
      <x:c r="C63" s="47"/>
      <x:c r="D63" s="47"/>
      <x:c r="E63" s="47"/>
      <x:c r="F63" s="47"/>
      <x:c r="G63" s="48"/>
      <x:c r="H63" s="47"/>
      <x:c r="I63" s="49"/>
      <x:c r="J63" s="49"/>
      <x:c r="K63" s="50"/>
      <x:c r="L63" s="50"/>
      <x:c r="M63" s="47"/>
      <x:c r="N63" s="47"/>
      <x:c r="O63" s="47"/>
      <x:c r="P63" s="47"/>
      <x:c r="Q63" s="29" t="str">
        <x:f>IF($B63="","",SUM($K63:$L63)+IF($M63="Yes",3,0)+IF($N63="Yes",3,0)+IF($O63="Yes",2,0)+IF($P63="Yes",2,0))</x:f>
      </x:c>
      <x:c r="R63" s="29" t="str">
        <x:f>IF($Q63="","",IF($Q63&gt;=15,"Qualified",IF($Q63&gt;=10,"Maybe","Low fit")))</x:f>
      </x:c>
      <x:c r="S63" s="47"/>
      <x:c r="T63" s="56"/>
      <x:c r="U63" s="56"/>
      <x:c r="V63" s="56"/>
      <x:c r="W63" s="56"/>
      <x:c r="X63" s="56"/>
      <x:c r="Y63" s="56"/>
      <x:c r="Z63" s="56"/>
      <x:c r="AA63" s="56"/>
      <x:c r="AB63" s="48"/>
      <x:c r="AC63" s="47"/>
      <x:c r="AD63" s="49"/>
      <x:c r="AE63" s="49"/>
      <x:c r="AF63" s="56"/>
      <x:c r="AG63" s="32" t="str">
        <x:f>IF($B63="","",IF(MAX($T63:$AA63)=0,"",TODAY()-MAX($T63:$AA63)))</x:f>
      </x:c>
      <x:c r="AH63" s="47"/>
      <x:c r="AI63" s="47"/>
    </x:row>
    <x:row r="64" ht="15" hidden="0" customHeight="1">
      <x:c r="A64" s="29" t="str">
        <x:f>IF($B64&lt;&gt;"","SS-"&amp;TEXT(ROW()-4,"000"),"")</x:f>
      </x:c>
      <x:c r="B64" s="47"/>
      <x:c r="C64" s="47"/>
      <x:c r="D64" s="47"/>
      <x:c r="E64" s="47"/>
      <x:c r="F64" s="47"/>
      <x:c r="G64" s="48"/>
      <x:c r="H64" s="47"/>
      <x:c r="I64" s="49"/>
      <x:c r="J64" s="49"/>
      <x:c r="K64" s="50"/>
      <x:c r="L64" s="50"/>
      <x:c r="M64" s="47"/>
      <x:c r="N64" s="47"/>
      <x:c r="O64" s="47"/>
      <x:c r="P64" s="47"/>
      <x:c r="Q64" s="29" t="str">
        <x:f>IF($B64="","",SUM($K64:$L64)+IF($M64="Yes",3,0)+IF($N64="Yes",3,0)+IF($O64="Yes",2,0)+IF($P64="Yes",2,0))</x:f>
      </x:c>
      <x:c r="R64" s="29" t="str">
        <x:f>IF($Q64="","",IF($Q64&gt;=15,"Qualified",IF($Q64&gt;=10,"Maybe","Low fit")))</x:f>
      </x:c>
      <x:c r="S64" s="47"/>
      <x:c r="T64" s="56"/>
      <x:c r="U64" s="56"/>
      <x:c r="V64" s="56"/>
      <x:c r="W64" s="56"/>
      <x:c r="X64" s="56"/>
      <x:c r="Y64" s="56"/>
      <x:c r="Z64" s="56"/>
      <x:c r="AA64" s="56"/>
      <x:c r="AB64" s="48"/>
      <x:c r="AC64" s="47"/>
      <x:c r="AD64" s="49"/>
      <x:c r="AE64" s="49"/>
      <x:c r="AF64" s="56"/>
      <x:c r="AG64" s="32" t="str">
        <x:f>IF($B64="","",IF(MAX($T64:$AA64)=0,"",TODAY()-MAX($T64:$AA64)))</x:f>
      </x:c>
      <x:c r="AH64" s="47"/>
      <x:c r="AI64" s="47"/>
    </x:row>
    <x:row r="65" ht="15" hidden="0" customHeight="1">
      <x:c r="A65" s="29" t="str">
        <x:f>IF($B65&lt;&gt;"","SS-"&amp;TEXT(ROW()-4,"000"),"")</x:f>
      </x:c>
      <x:c r="B65" s="47"/>
      <x:c r="C65" s="47"/>
      <x:c r="D65" s="47"/>
      <x:c r="E65" s="47"/>
      <x:c r="F65" s="47"/>
      <x:c r="G65" s="48"/>
      <x:c r="H65" s="47"/>
      <x:c r="I65" s="49"/>
      <x:c r="J65" s="49"/>
      <x:c r="K65" s="50"/>
      <x:c r="L65" s="50"/>
      <x:c r="M65" s="47"/>
      <x:c r="N65" s="47"/>
      <x:c r="O65" s="47"/>
      <x:c r="P65" s="47"/>
      <x:c r="Q65" s="29" t="str">
        <x:f>IF($B65="","",SUM($K65:$L65)+IF($M65="Yes",3,0)+IF($N65="Yes",3,0)+IF($O65="Yes",2,0)+IF($P65="Yes",2,0))</x:f>
      </x:c>
      <x:c r="R65" s="29" t="str">
        <x:f>IF($Q65="","",IF($Q65&gt;=15,"Qualified",IF($Q65&gt;=10,"Maybe","Low fit")))</x:f>
      </x:c>
      <x:c r="S65" s="47"/>
      <x:c r="T65" s="56"/>
      <x:c r="U65" s="56"/>
      <x:c r="V65" s="56"/>
      <x:c r="W65" s="56"/>
      <x:c r="X65" s="56"/>
      <x:c r="Y65" s="56"/>
      <x:c r="Z65" s="56"/>
      <x:c r="AA65" s="56"/>
      <x:c r="AB65" s="48"/>
      <x:c r="AC65" s="47"/>
      <x:c r="AD65" s="49"/>
      <x:c r="AE65" s="49"/>
      <x:c r="AF65" s="56"/>
      <x:c r="AG65" s="32" t="str">
        <x:f>IF($B65="","",IF(MAX($T65:$AA65)=0,"",TODAY()-MAX($T65:$AA65)))</x:f>
      </x:c>
      <x:c r="AH65" s="47"/>
      <x:c r="AI65" s="47"/>
    </x:row>
    <x:row r="66" ht="15" hidden="0" customHeight="1">
      <x:c r="A66" s="29" t="str">
        <x:f>IF($B66&lt;&gt;"","SS-"&amp;TEXT(ROW()-4,"000"),"")</x:f>
      </x:c>
      <x:c r="B66" s="47"/>
      <x:c r="C66" s="47"/>
      <x:c r="D66" s="47"/>
      <x:c r="E66" s="47"/>
      <x:c r="F66" s="47"/>
      <x:c r="G66" s="48"/>
      <x:c r="H66" s="47"/>
      <x:c r="I66" s="49"/>
      <x:c r="J66" s="49"/>
      <x:c r="K66" s="50"/>
      <x:c r="L66" s="50"/>
      <x:c r="M66" s="47"/>
      <x:c r="N66" s="47"/>
      <x:c r="O66" s="47"/>
      <x:c r="P66" s="47"/>
      <x:c r="Q66" s="29" t="str">
        <x:f>IF($B66="","",SUM($K66:$L66)+IF($M66="Yes",3,0)+IF($N66="Yes",3,0)+IF($O66="Yes",2,0)+IF($P66="Yes",2,0))</x:f>
      </x:c>
      <x:c r="R66" s="29" t="str">
        <x:f>IF($Q66="","",IF($Q66&gt;=15,"Qualified",IF($Q66&gt;=10,"Maybe","Low fit")))</x:f>
      </x:c>
      <x:c r="S66" s="47"/>
      <x:c r="T66" s="56"/>
      <x:c r="U66" s="56"/>
      <x:c r="V66" s="56"/>
      <x:c r="W66" s="56"/>
      <x:c r="X66" s="56"/>
      <x:c r="Y66" s="56"/>
      <x:c r="Z66" s="56"/>
      <x:c r="AA66" s="56"/>
      <x:c r="AB66" s="48"/>
      <x:c r="AC66" s="47"/>
      <x:c r="AD66" s="49"/>
      <x:c r="AE66" s="49"/>
      <x:c r="AF66" s="56"/>
      <x:c r="AG66" s="32" t="str">
        <x:f>IF($B66="","",IF(MAX($T66:$AA66)=0,"",TODAY()-MAX($T66:$AA66)))</x:f>
      </x:c>
      <x:c r="AH66" s="47"/>
      <x:c r="AI66" s="47"/>
    </x:row>
    <x:row r="67" ht="15" hidden="0" customHeight="1">
      <x:c r="A67" s="29" t="str">
        <x:f>IF($B67&lt;&gt;"","SS-"&amp;TEXT(ROW()-4,"000"),"")</x:f>
      </x:c>
      <x:c r="B67" s="47"/>
      <x:c r="C67" s="47"/>
      <x:c r="D67" s="47"/>
      <x:c r="E67" s="47"/>
      <x:c r="F67" s="47"/>
      <x:c r="G67" s="48"/>
      <x:c r="H67" s="47"/>
      <x:c r="I67" s="49"/>
      <x:c r="J67" s="49"/>
      <x:c r="K67" s="50"/>
      <x:c r="L67" s="50"/>
      <x:c r="M67" s="47"/>
      <x:c r="N67" s="47"/>
      <x:c r="O67" s="47"/>
      <x:c r="P67" s="47"/>
      <x:c r="Q67" s="29" t="str">
        <x:f>IF($B67="","",SUM($K67:$L67)+IF($M67="Yes",3,0)+IF($N67="Yes",3,0)+IF($O67="Yes",2,0)+IF($P67="Yes",2,0))</x:f>
      </x:c>
      <x:c r="R67" s="29" t="str">
        <x:f>IF($Q67="","",IF($Q67&gt;=15,"Qualified",IF($Q67&gt;=10,"Maybe","Low fit")))</x:f>
      </x:c>
      <x:c r="S67" s="47"/>
      <x:c r="T67" s="56"/>
      <x:c r="U67" s="56"/>
      <x:c r="V67" s="56"/>
      <x:c r="W67" s="56"/>
      <x:c r="X67" s="56"/>
      <x:c r="Y67" s="56"/>
      <x:c r="Z67" s="56"/>
      <x:c r="AA67" s="56"/>
      <x:c r="AB67" s="48"/>
      <x:c r="AC67" s="47"/>
      <x:c r="AD67" s="49"/>
      <x:c r="AE67" s="49"/>
      <x:c r="AF67" s="56"/>
      <x:c r="AG67" s="32" t="str">
        <x:f>IF($B67="","",IF(MAX($T67:$AA67)=0,"",TODAY()-MAX($T67:$AA67)))</x:f>
      </x:c>
      <x:c r="AH67" s="47"/>
      <x:c r="AI67" s="47"/>
    </x:row>
    <x:row r="68" ht="15" hidden="0" customHeight="1">
      <x:c r="A68" s="29" t="str">
        <x:f>IF($B68&lt;&gt;"","SS-"&amp;TEXT(ROW()-4,"000"),"")</x:f>
      </x:c>
      <x:c r="B68" s="47"/>
      <x:c r="C68" s="47"/>
      <x:c r="D68" s="47"/>
      <x:c r="E68" s="47"/>
      <x:c r="F68" s="47"/>
      <x:c r="G68" s="48"/>
      <x:c r="H68" s="47"/>
      <x:c r="I68" s="49"/>
      <x:c r="J68" s="49"/>
      <x:c r="K68" s="50"/>
      <x:c r="L68" s="50"/>
      <x:c r="M68" s="47"/>
      <x:c r="N68" s="47"/>
      <x:c r="O68" s="47"/>
      <x:c r="P68" s="47"/>
      <x:c r="Q68" s="29" t="str">
        <x:f>IF($B68="","",SUM($K68:$L68)+IF($M68="Yes",3,0)+IF($N68="Yes",3,0)+IF($O68="Yes",2,0)+IF($P68="Yes",2,0))</x:f>
      </x:c>
      <x:c r="R68" s="29" t="str">
        <x:f>IF($Q68="","",IF($Q68&gt;=15,"Qualified",IF($Q68&gt;=10,"Maybe","Low fit")))</x:f>
      </x:c>
      <x:c r="S68" s="47"/>
      <x:c r="T68" s="56"/>
      <x:c r="U68" s="56"/>
      <x:c r="V68" s="56"/>
      <x:c r="W68" s="56"/>
      <x:c r="X68" s="56"/>
      <x:c r="Y68" s="56"/>
      <x:c r="Z68" s="56"/>
      <x:c r="AA68" s="56"/>
      <x:c r="AB68" s="48"/>
      <x:c r="AC68" s="47"/>
      <x:c r="AD68" s="49"/>
      <x:c r="AE68" s="49"/>
      <x:c r="AF68" s="56"/>
      <x:c r="AG68" s="32" t="str">
        <x:f>IF($B68="","",IF(MAX($T68:$AA68)=0,"",TODAY()-MAX($T68:$AA68)))</x:f>
      </x:c>
      <x:c r="AH68" s="47"/>
      <x:c r="AI68" s="47"/>
    </x:row>
    <x:row r="69" ht="15" hidden="0" customHeight="1">
      <x:c r="A69" s="29" t="str">
        <x:f>IF($B69&lt;&gt;"","SS-"&amp;TEXT(ROW()-4,"000"),"")</x:f>
      </x:c>
      <x:c r="B69" s="47"/>
      <x:c r="C69" s="47"/>
      <x:c r="D69" s="47"/>
      <x:c r="E69" s="47"/>
      <x:c r="F69" s="47"/>
      <x:c r="G69" s="48"/>
      <x:c r="H69" s="47"/>
      <x:c r="I69" s="49"/>
      <x:c r="J69" s="49"/>
      <x:c r="K69" s="50"/>
      <x:c r="L69" s="50"/>
      <x:c r="M69" s="47"/>
      <x:c r="N69" s="47"/>
      <x:c r="O69" s="47"/>
      <x:c r="P69" s="47"/>
      <x:c r="Q69" s="29" t="str">
        <x:f>IF($B69="","",SUM($K69:$L69)+IF($M69="Yes",3,0)+IF($N69="Yes",3,0)+IF($O69="Yes",2,0)+IF($P69="Yes",2,0))</x:f>
      </x:c>
      <x:c r="R69" s="29" t="str">
        <x:f>IF($Q69="","",IF($Q69&gt;=15,"Qualified",IF($Q69&gt;=10,"Maybe","Low fit")))</x:f>
      </x:c>
      <x:c r="S69" s="47"/>
      <x:c r="T69" s="56"/>
      <x:c r="U69" s="56"/>
      <x:c r="V69" s="56"/>
      <x:c r="W69" s="56"/>
      <x:c r="X69" s="56"/>
      <x:c r="Y69" s="56"/>
      <x:c r="Z69" s="56"/>
      <x:c r="AA69" s="56"/>
      <x:c r="AB69" s="48"/>
      <x:c r="AC69" s="47"/>
      <x:c r="AD69" s="49"/>
      <x:c r="AE69" s="49"/>
      <x:c r="AF69" s="56"/>
      <x:c r="AG69" s="32" t="str">
        <x:f>IF($B69="","",IF(MAX($T69:$AA69)=0,"",TODAY()-MAX($T69:$AA69)))</x:f>
      </x:c>
      <x:c r="AH69" s="47"/>
      <x:c r="AI69" s="47"/>
    </x:row>
    <x:row r="70" ht="15" hidden="0" customHeight="1">
      <x:c r="A70" s="29" t="str">
        <x:f>IF($B70&lt;&gt;"","SS-"&amp;TEXT(ROW()-4,"000"),"")</x:f>
      </x:c>
      <x:c r="B70" s="47"/>
      <x:c r="C70" s="47"/>
      <x:c r="D70" s="47"/>
      <x:c r="E70" s="47"/>
      <x:c r="F70" s="47"/>
      <x:c r="G70" s="48"/>
      <x:c r="H70" s="47"/>
      <x:c r="I70" s="49"/>
      <x:c r="J70" s="49"/>
      <x:c r="K70" s="50"/>
      <x:c r="L70" s="50"/>
      <x:c r="M70" s="47"/>
      <x:c r="N70" s="47"/>
      <x:c r="O70" s="47"/>
      <x:c r="P70" s="47"/>
      <x:c r="Q70" s="29" t="str">
        <x:f>IF($B70="","",SUM($K70:$L70)+IF($M70="Yes",3,0)+IF($N70="Yes",3,0)+IF($O70="Yes",2,0)+IF($P70="Yes",2,0))</x:f>
      </x:c>
      <x:c r="R70" s="29" t="str">
        <x:f>IF($Q70="","",IF($Q70&gt;=15,"Qualified",IF($Q70&gt;=10,"Maybe","Low fit")))</x:f>
      </x:c>
      <x:c r="S70" s="47"/>
      <x:c r="T70" s="56"/>
      <x:c r="U70" s="56"/>
      <x:c r="V70" s="56"/>
      <x:c r="W70" s="56"/>
      <x:c r="X70" s="56"/>
      <x:c r="Y70" s="56"/>
      <x:c r="Z70" s="56"/>
      <x:c r="AA70" s="56"/>
      <x:c r="AB70" s="48"/>
      <x:c r="AC70" s="47"/>
      <x:c r="AD70" s="49"/>
      <x:c r="AE70" s="49"/>
      <x:c r="AF70" s="56"/>
      <x:c r="AG70" s="32" t="str">
        <x:f>IF($B70="","",IF(MAX($T70:$AA70)=0,"",TODAY()-MAX($T70:$AA70)))</x:f>
      </x:c>
      <x:c r="AH70" s="47"/>
      <x:c r="AI70" s="47"/>
    </x:row>
    <x:row r="71" ht="15" hidden="0" customHeight="1">
      <x:c r="A71" s="29" t="str">
        <x:f>IF($B71&lt;&gt;"","SS-"&amp;TEXT(ROW()-4,"000"),"")</x:f>
      </x:c>
      <x:c r="B71" s="47"/>
      <x:c r="C71" s="47"/>
      <x:c r="D71" s="47"/>
      <x:c r="E71" s="47"/>
      <x:c r="F71" s="47"/>
      <x:c r="G71" s="48"/>
      <x:c r="H71" s="47"/>
      <x:c r="I71" s="49"/>
      <x:c r="J71" s="49"/>
      <x:c r="K71" s="50"/>
      <x:c r="L71" s="50"/>
      <x:c r="M71" s="47"/>
      <x:c r="N71" s="47"/>
      <x:c r="O71" s="47"/>
      <x:c r="P71" s="47"/>
      <x:c r="Q71" s="29" t="str">
        <x:f>IF($B71="","",SUM($K71:$L71)+IF($M71="Yes",3,0)+IF($N71="Yes",3,0)+IF($O71="Yes",2,0)+IF($P71="Yes",2,0))</x:f>
      </x:c>
      <x:c r="R71" s="29" t="str">
        <x:f>IF($Q71="","",IF($Q71&gt;=15,"Qualified",IF($Q71&gt;=10,"Maybe","Low fit")))</x:f>
      </x:c>
      <x:c r="S71" s="47"/>
      <x:c r="T71" s="56"/>
      <x:c r="U71" s="56"/>
      <x:c r="V71" s="56"/>
      <x:c r="W71" s="56"/>
      <x:c r="X71" s="56"/>
      <x:c r="Y71" s="56"/>
      <x:c r="Z71" s="56"/>
      <x:c r="AA71" s="56"/>
      <x:c r="AB71" s="48"/>
      <x:c r="AC71" s="47"/>
      <x:c r="AD71" s="49"/>
      <x:c r="AE71" s="49"/>
      <x:c r="AF71" s="56"/>
      <x:c r="AG71" s="32" t="str">
        <x:f>IF($B71="","",IF(MAX($T71:$AA71)=0,"",TODAY()-MAX($T71:$AA71)))</x:f>
      </x:c>
      <x:c r="AH71" s="47"/>
      <x:c r="AI71" s="47"/>
    </x:row>
    <x:row r="72" ht="15" hidden="0" customHeight="1">
      <x:c r="A72" s="29" t="str">
        <x:f>IF($B72&lt;&gt;"","SS-"&amp;TEXT(ROW()-4,"000"),"")</x:f>
      </x:c>
      <x:c r="B72" s="47"/>
      <x:c r="C72" s="47"/>
      <x:c r="D72" s="47"/>
      <x:c r="E72" s="47"/>
      <x:c r="F72" s="47"/>
      <x:c r="G72" s="48"/>
      <x:c r="H72" s="47"/>
      <x:c r="I72" s="49"/>
      <x:c r="J72" s="49"/>
      <x:c r="K72" s="50"/>
      <x:c r="L72" s="50"/>
      <x:c r="M72" s="47"/>
      <x:c r="N72" s="47"/>
      <x:c r="O72" s="47"/>
      <x:c r="P72" s="47"/>
      <x:c r="Q72" s="29" t="str">
        <x:f>IF($B72="","",SUM($K72:$L72)+IF($M72="Yes",3,0)+IF($N72="Yes",3,0)+IF($O72="Yes",2,0)+IF($P72="Yes",2,0))</x:f>
      </x:c>
      <x:c r="R72" s="29" t="str">
        <x:f>IF($Q72="","",IF($Q72&gt;=15,"Qualified",IF($Q72&gt;=10,"Maybe","Low fit")))</x:f>
      </x:c>
      <x:c r="S72" s="47"/>
      <x:c r="T72" s="56"/>
      <x:c r="U72" s="56"/>
      <x:c r="V72" s="56"/>
      <x:c r="W72" s="56"/>
      <x:c r="X72" s="56"/>
      <x:c r="Y72" s="56"/>
      <x:c r="Z72" s="56"/>
      <x:c r="AA72" s="56"/>
      <x:c r="AB72" s="48"/>
      <x:c r="AC72" s="47"/>
      <x:c r="AD72" s="49"/>
      <x:c r="AE72" s="49"/>
      <x:c r="AF72" s="56"/>
      <x:c r="AG72" s="32" t="str">
        <x:f>IF($B72="","",IF(MAX($T72:$AA72)=0,"",TODAY()-MAX($T72:$AA72)))</x:f>
      </x:c>
      <x:c r="AH72" s="47"/>
      <x:c r="AI72" s="47"/>
    </x:row>
    <x:row r="73" ht="15" hidden="0" customHeight="1">
      <x:c r="A73" s="29" t="str">
        <x:f>IF($B73&lt;&gt;"","SS-"&amp;TEXT(ROW()-4,"000"),"")</x:f>
      </x:c>
      <x:c r="B73" s="47"/>
      <x:c r="C73" s="47"/>
      <x:c r="D73" s="47"/>
      <x:c r="E73" s="47"/>
      <x:c r="F73" s="47"/>
      <x:c r="G73" s="48"/>
      <x:c r="H73" s="47"/>
      <x:c r="I73" s="49"/>
      <x:c r="J73" s="49"/>
      <x:c r="K73" s="50"/>
      <x:c r="L73" s="50"/>
      <x:c r="M73" s="47"/>
      <x:c r="N73" s="47"/>
      <x:c r="O73" s="47"/>
      <x:c r="P73" s="47"/>
      <x:c r="Q73" s="29" t="str">
        <x:f>IF($B73="","",SUM($K73:$L73)+IF($M73="Yes",3,0)+IF($N73="Yes",3,0)+IF($O73="Yes",2,0)+IF($P73="Yes",2,0))</x:f>
      </x:c>
      <x:c r="R73" s="29" t="str">
        <x:f>IF($Q73="","",IF($Q73&gt;=15,"Qualified",IF($Q73&gt;=10,"Maybe","Low fit")))</x:f>
      </x:c>
      <x:c r="S73" s="47"/>
      <x:c r="T73" s="56"/>
      <x:c r="U73" s="56"/>
      <x:c r="V73" s="56"/>
      <x:c r="W73" s="56"/>
      <x:c r="X73" s="56"/>
      <x:c r="Y73" s="56"/>
      <x:c r="Z73" s="56"/>
      <x:c r="AA73" s="56"/>
      <x:c r="AB73" s="48"/>
      <x:c r="AC73" s="47"/>
      <x:c r="AD73" s="49"/>
      <x:c r="AE73" s="49"/>
      <x:c r="AF73" s="56"/>
      <x:c r="AG73" s="32" t="str">
        <x:f>IF($B73="","",IF(MAX($T73:$AA73)=0,"",TODAY()-MAX($T73:$AA73)))</x:f>
      </x:c>
      <x:c r="AH73" s="47"/>
      <x:c r="AI73" s="47"/>
    </x:row>
    <x:row r="74" ht="15" hidden="0" customHeight="1">
      <x:c r="A74" s="29" t="str">
        <x:f>IF($B74&lt;&gt;"","SS-"&amp;TEXT(ROW()-4,"000"),"")</x:f>
      </x:c>
      <x:c r="B74" s="47"/>
      <x:c r="C74" s="47"/>
      <x:c r="D74" s="47"/>
      <x:c r="E74" s="47"/>
      <x:c r="F74" s="47"/>
      <x:c r="G74" s="48"/>
      <x:c r="H74" s="47"/>
      <x:c r="I74" s="49"/>
      <x:c r="J74" s="49"/>
      <x:c r="K74" s="50"/>
      <x:c r="L74" s="50"/>
      <x:c r="M74" s="47"/>
      <x:c r="N74" s="47"/>
      <x:c r="O74" s="47"/>
      <x:c r="P74" s="47"/>
      <x:c r="Q74" s="29" t="str">
        <x:f>IF($B74="","",SUM($K74:$L74)+IF($M74="Yes",3,0)+IF($N74="Yes",3,0)+IF($O74="Yes",2,0)+IF($P74="Yes",2,0))</x:f>
      </x:c>
      <x:c r="R74" s="29" t="str">
        <x:f>IF($Q74="","",IF($Q74&gt;=15,"Qualified",IF($Q74&gt;=10,"Maybe","Low fit")))</x:f>
      </x:c>
      <x:c r="S74" s="47"/>
      <x:c r="T74" s="56"/>
      <x:c r="U74" s="56"/>
      <x:c r="V74" s="56"/>
      <x:c r="W74" s="56"/>
      <x:c r="X74" s="56"/>
      <x:c r="Y74" s="56"/>
      <x:c r="Z74" s="56"/>
      <x:c r="AA74" s="56"/>
      <x:c r="AB74" s="48"/>
      <x:c r="AC74" s="47"/>
      <x:c r="AD74" s="49"/>
      <x:c r="AE74" s="49"/>
      <x:c r="AF74" s="56"/>
      <x:c r="AG74" s="32" t="str">
        <x:f>IF($B74="","",IF(MAX($T74:$AA74)=0,"",TODAY()-MAX($T74:$AA74)))</x:f>
      </x:c>
      <x:c r="AH74" s="47"/>
      <x:c r="AI74" s="47"/>
    </x:row>
    <x:row r="75" ht="15" hidden="0" customHeight="1">
      <x:c r="A75" s="29" t="str">
        <x:f>IF($B75&lt;&gt;"","SS-"&amp;TEXT(ROW()-4,"000"),"")</x:f>
      </x:c>
      <x:c r="B75" s="47"/>
      <x:c r="C75" s="47"/>
      <x:c r="D75" s="47"/>
      <x:c r="E75" s="47"/>
      <x:c r="F75" s="47"/>
      <x:c r="G75" s="48"/>
      <x:c r="H75" s="47"/>
      <x:c r="I75" s="49"/>
      <x:c r="J75" s="49"/>
      <x:c r="K75" s="50"/>
      <x:c r="L75" s="50"/>
      <x:c r="M75" s="47"/>
      <x:c r="N75" s="47"/>
      <x:c r="O75" s="47"/>
      <x:c r="P75" s="47"/>
      <x:c r="Q75" s="29" t="str">
        <x:f>IF($B75="","",SUM($K75:$L75)+IF($M75="Yes",3,0)+IF($N75="Yes",3,0)+IF($O75="Yes",2,0)+IF($P75="Yes",2,0))</x:f>
      </x:c>
      <x:c r="R75" s="29" t="str">
        <x:f>IF($Q75="","",IF($Q75&gt;=15,"Qualified",IF($Q75&gt;=10,"Maybe","Low fit")))</x:f>
      </x:c>
      <x:c r="S75" s="47"/>
      <x:c r="T75" s="56"/>
      <x:c r="U75" s="56"/>
      <x:c r="V75" s="56"/>
      <x:c r="W75" s="56"/>
      <x:c r="X75" s="56"/>
      <x:c r="Y75" s="56"/>
      <x:c r="Z75" s="56"/>
      <x:c r="AA75" s="56"/>
      <x:c r="AB75" s="48"/>
      <x:c r="AC75" s="47"/>
      <x:c r="AD75" s="49"/>
      <x:c r="AE75" s="49"/>
      <x:c r="AF75" s="56"/>
      <x:c r="AG75" s="32" t="str">
        <x:f>IF($B75="","",IF(MAX($T75:$AA75)=0,"",TODAY()-MAX($T75:$AA75)))</x:f>
      </x:c>
      <x:c r="AH75" s="47"/>
      <x:c r="AI75" s="47"/>
    </x:row>
    <x:row r="76" ht="15" hidden="0" customHeight="1">
      <x:c r="A76" s="29" t="str">
        <x:f>IF($B76&lt;&gt;"","SS-"&amp;TEXT(ROW()-4,"000"),"")</x:f>
      </x:c>
      <x:c r="B76" s="47"/>
      <x:c r="C76" s="47"/>
      <x:c r="D76" s="47"/>
      <x:c r="E76" s="47"/>
      <x:c r="F76" s="47"/>
      <x:c r="G76" s="48"/>
      <x:c r="H76" s="47"/>
      <x:c r="I76" s="49"/>
      <x:c r="J76" s="49"/>
      <x:c r="K76" s="50"/>
      <x:c r="L76" s="50"/>
      <x:c r="M76" s="47"/>
      <x:c r="N76" s="47"/>
      <x:c r="O76" s="47"/>
      <x:c r="P76" s="47"/>
      <x:c r="Q76" s="29" t="str">
        <x:f>IF($B76="","",SUM($K76:$L76)+IF($M76="Yes",3,0)+IF($N76="Yes",3,0)+IF($O76="Yes",2,0)+IF($P76="Yes",2,0))</x:f>
      </x:c>
      <x:c r="R76" s="29" t="str">
        <x:f>IF($Q76="","",IF($Q76&gt;=15,"Qualified",IF($Q76&gt;=10,"Maybe","Low fit")))</x:f>
      </x:c>
      <x:c r="S76" s="47"/>
      <x:c r="T76" s="56"/>
      <x:c r="U76" s="56"/>
      <x:c r="V76" s="56"/>
      <x:c r="W76" s="56"/>
      <x:c r="X76" s="56"/>
      <x:c r="Y76" s="56"/>
      <x:c r="Z76" s="56"/>
      <x:c r="AA76" s="56"/>
      <x:c r="AB76" s="48"/>
      <x:c r="AC76" s="47"/>
      <x:c r="AD76" s="49"/>
      <x:c r="AE76" s="49"/>
      <x:c r="AF76" s="56"/>
      <x:c r="AG76" s="32" t="str">
        <x:f>IF($B76="","",IF(MAX($T76:$AA76)=0,"",TODAY()-MAX($T76:$AA76)))</x:f>
      </x:c>
      <x:c r="AH76" s="47"/>
      <x:c r="AI76" s="47"/>
    </x:row>
    <x:row r="77" ht="15" hidden="0" customHeight="1">
      <x:c r="A77" s="29" t="str">
        <x:f>IF($B77&lt;&gt;"","SS-"&amp;TEXT(ROW()-4,"000"),"")</x:f>
      </x:c>
      <x:c r="B77" s="47"/>
      <x:c r="C77" s="47"/>
      <x:c r="D77" s="47"/>
      <x:c r="E77" s="47"/>
      <x:c r="F77" s="47"/>
      <x:c r="G77" s="48"/>
      <x:c r="H77" s="47"/>
      <x:c r="I77" s="49"/>
      <x:c r="J77" s="49"/>
      <x:c r="K77" s="50"/>
      <x:c r="L77" s="50"/>
      <x:c r="M77" s="47"/>
      <x:c r="N77" s="47"/>
      <x:c r="O77" s="47"/>
      <x:c r="P77" s="47"/>
      <x:c r="Q77" s="29" t="str">
        <x:f>IF($B77="","",SUM($K77:$L77)+IF($M77="Yes",3,0)+IF($N77="Yes",3,0)+IF($O77="Yes",2,0)+IF($P77="Yes",2,0))</x:f>
      </x:c>
      <x:c r="R77" s="29" t="str">
        <x:f>IF($Q77="","",IF($Q77&gt;=15,"Qualified",IF($Q77&gt;=10,"Maybe","Low fit")))</x:f>
      </x:c>
      <x:c r="S77" s="47"/>
      <x:c r="T77" s="56"/>
      <x:c r="U77" s="56"/>
      <x:c r="V77" s="56"/>
      <x:c r="W77" s="56"/>
      <x:c r="X77" s="56"/>
      <x:c r="Y77" s="56"/>
      <x:c r="Z77" s="56"/>
      <x:c r="AA77" s="56"/>
      <x:c r="AB77" s="48"/>
      <x:c r="AC77" s="47"/>
      <x:c r="AD77" s="49"/>
      <x:c r="AE77" s="49"/>
      <x:c r="AF77" s="56"/>
      <x:c r="AG77" s="32" t="str">
        <x:f>IF($B77="","",IF(MAX($T77:$AA77)=0,"",TODAY()-MAX($T77:$AA77)))</x:f>
      </x:c>
      <x:c r="AH77" s="47"/>
      <x:c r="AI77" s="47"/>
    </x:row>
    <x:row r="78" ht="15" hidden="0" customHeight="1">
      <x:c r="A78" s="29" t="str">
        <x:f>IF($B78&lt;&gt;"","SS-"&amp;TEXT(ROW()-4,"000"),"")</x:f>
      </x:c>
      <x:c r="B78" s="47"/>
      <x:c r="C78" s="47"/>
      <x:c r="D78" s="47"/>
      <x:c r="E78" s="47"/>
      <x:c r="F78" s="47"/>
      <x:c r="G78" s="48"/>
      <x:c r="H78" s="47"/>
      <x:c r="I78" s="49"/>
      <x:c r="J78" s="49"/>
      <x:c r="K78" s="50"/>
      <x:c r="L78" s="50"/>
      <x:c r="M78" s="47"/>
      <x:c r="N78" s="47"/>
      <x:c r="O78" s="47"/>
      <x:c r="P78" s="47"/>
      <x:c r="Q78" s="29" t="str">
        <x:f>IF($B78="","",SUM($K78:$L78)+IF($M78="Yes",3,0)+IF($N78="Yes",3,0)+IF($O78="Yes",2,0)+IF($P78="Yes",2,0))</x:f>
      </x:c>
      <x:c r="R78" s="29" t="str">
        <x:f>IF($Q78="","",IF($Q78&gt;=15,"Qualified",IF($Q78&gt;=10,"Maybe","Low fit")))</x:f>
      </x:c>
      <x:c r="S78" s="47"/>
      <x:c r="T78" s="56"/>
      <x:c r="U78" s="56"/>
      <x:c r="V78" s="56"/>
      <x:c r="W78" s="56"/>
      <x:c r="X78" s="56"/>
      <x:c r="Y78" s="56"/>
      <x:c r="Z78" s="56"/>
      <x:c r="AA78" s="56"/>
      <x:c r="AB78" s="48"/>
      <x:c r="AC78" s="47"/>
      <x:c r="AD78" s="49"/>
      <x:c r="AE78" s="49"/>
      <x:c r="AF78" s="56"/>
      <x:c r="AG78" s="32" t="str">
        <x:f>IF($B78="","",IF(MAX($T78:$AA78)=0,"",TODAY()-MAX($T78:$AA78)))</x:f>
      </x:c>
      <x:c r="AH78" s="47"/>
      <x:c r="AI78" s="47"/>
    </x:row>
    <x:row r="79" ht="15" hidden="0" customHeight="1">
      <x:c r="A79" s="29" t="str">
        <x:f>IF($B79&lt;&gt;"","SS-"&amp;TEXT(ROW()-4,"000"),"")</x:f>
      </x:c>
      <x:c r="B79" s="47"/>
      <x:c r="C79" s="47"/>
      <x:c r="D79" s="47"/>
      <x:c r="E79" s="47"/>
      <x:c r="F79" s="47"/>
      <x:c r="G79" s="48"/>
      <x:c r="H79" s="47"/>
      <x:c r="I79" s="49"/>
      <x:c r="J79" s="49"/>
      <x:c r="K79" s="50"/>
      <x:c r="L79" s="50"/>
      <x:c r="M79" s="47"/>
      <x:c r="N79" s="47"/>
      <x:c r="O79" s="47"/>
      <x:c r="P79" s="47"/>
      <x:c r="Q79" s="29" t="str">
        <x:f>IF($B79="","",SUM($K79:$L79)+IF($M79="Yes",3,0)+IF($N79="Yes",3,0)+IF($O79="Yes",2,0)+IF($P79="Yes",2,0))</x:f>
      </x:c>
      <x:c r="R79" s="29" t="str">
        <x:f>IF($Q79="","",IF($Q79&gt;=15,"Qualified",IF($Q79&gt;=10,"Maybe","Low fit")))</x:f>
      </x:c>
      <x:c r="S79" s="47"/>
      <x:c r="T79" s="56"/>
      <x:c r="U79" s="56"/>
      <x:c r="V79" s="56"/>
      <x:c r="W79" s="56"/>
      <x:c r="X79" s="56"/>
      <x:c r="Y79" s="56"/>
      <x:c r="Z79" s="56"/>
      <x:c r="AA79" s="56"/>
      <x:c r="AB79" s="48"/>
      <x:c r="AC79" s="47"/>
      <x:c r="AD79" s="49"/>
      <x:c r="AE79" s="49"/>
      <x:c r="AF79" s="56"/>
      <x:c r="AG79" s="32" t="str">
        <x:f>IF($B79="","",IF(MAX($T79:$AA79)=0,"",TODAY()-MAX($T79:$AA79)))</x:f>
      </x:c>
      <x:c r="AH79" s="47"/>
      <x:c r="AI79" s="47"/>
    </x:row>
    <x:row r="80" ht="15" hidden="0" customHeight="1">
      <x:c r="A80" s="29" t="str">
        <x:f>IF($B80&lt;&gt;"","SS-"&amp;TEXT(ROW()-4,"000"),"")</x:f>
      </x:c>
      <x:c r="B80" s="47"/>
      <x:c r="C80" s="47"/>
      <x:c r="D80" s="47"/>
      <x:c r="E80" s="47"/>
      <x:c r="F80" s="47"/>
      <x:c r="G80" s="48"/>
      <x:c r="H80" s="47"/>
      <x:c r="I80" s="49"/>
      <x:c r="J80" s="49"/>
      <x:c r="K80" s="50"/>
      <x:c r="L80" s="50"/>
      <x:c r="M80" s="47"/>
      <x:c r="N80" s="47"/>
      <x:c r="O80" s="47"/>
      <x:c r="P80" s="47"/>
      <x:c r="Q80" s="29" t="str">
        <x:f>IF($B80="","",SUM($K80:$L80)+IF($M80="Yes",3,0)+IF($N80="Yes",3,0)+IF($O80="Yes",2,0)+IF($P80="Yes",2,0))</x:f>
      </x:c>
      <x:c r="R80" s="29" t="str">
        <x:f>IF($Q80="","",IF($Q80&gt;=15,"Qualified",IF($Q80&gt;=10,"Maybe","Low fit")))</x:f>
      </x:c>
      <x:c r="S80" s="47"/>
      <x:c r="T80" s="56"/>
      <x:c r="U80" s="56"/>
      <x:c r="V80" s="56"/>
      <x:c r="W80" s="56"/>
      <x:c r="X80" s="56"/>
      <x:c r="Y80" s="56"/>
      <x:c r="Z80" s="56"/>
      <x:c r="AA80" s="56"/>
      <x:c r="AB80" s="48"/>
      <x:c r="AC80" s="47"/>
      <x:c r="AD80" s="49"/>
      <x:c r="AE80" s="49"/>
      <x:c r="AF80" s="56"/>
      <x:c r="AG80" s="32" t="str">
        <x:f>IF($B80="","",IF(MAX($T80:$AA80)=0,"",TODAY()-MAX($T80:$AA80)))</x:f>
      </x:c>
      <x:c r="AH80" s="47"/>
      <x:c r="AI80" s="47"/>
    </x:row>
    <x:row r="81" ht="15" hidden="0" customHeight="1">
      <x:c r="A81" s="29" t="str">
        <x:f>IF($B81&lt;&gt;"","SS-"&amp;TEXT(ROW()-4,"000"),"")</x:f>
      </x:c>
      <x:c r="B81" s="47"/>
      <x:c r="C81" s="47"/>
      <x:c r="D81" s="47"/>
      <x:c r="E81" s="47"/>
      <x:c r="F81" s="47"/>
      <x:c r="G81" s="48"/>
      <x:c r="H81" s="47"/>
      <x:c r="I81" s="49"/>
      <x:c r="J81" s="49"/>
      <x:c r="K81" s="50"/>
      <x:c r="L81" s="50"/>
      <x:c r="M81" s="47"/>
      <x:c r="N81" s="47"/>
      <x:c r="O81" s="47"/>
      <x:c r="P81" s="47"/>
      <x:c r="Q81" s="29" t="str">
        <x:f>IF($B81="","",SUM($K81:$L81)+IF($M81="Yes",3,0)+IF($N81="Yes",3,0)+IF($O81="Yes",2,0)+IF($P81="Yes",2,0))</x:f>
      </x:c>
      <x:c r="R81" s="29" t="str">
        <x:f>IF($Q81="","",IF($Q81&gt;=15,"Qualified",IF($Q81&gt;=10,"Maybe","Low fit")))</x:f>
      </x:c>
      <x:c r="S81" s="47"/>
      <x:c r="T81" s="56"/>
      <x:c r="U81" s="56"/>
      <x:c r="V81" s="56"/>
      <x:c r="W81" s="56"/>
      <x:c r="X81" s="56"/>
      <x:c r="Y81" s="56"/>
      <x:c r="Z81" s="56"/>
      <x:c r="AA81" s="56"/>
      <x:c r="AB81" s="48"/>
      <x:c r="AC81" s="47"/>
      <x:c r="AD81" s="49"/>
      <x:c r="AE81" s="49"/>
      <x:c r="AF81" s="56"/>
      <x:c r="AG81" s="32" t="str">
        <x:f>IF($B81="","",IF(MAX($T81:$AA81)=0,"",TODAY()-MAX($T81:$AA81)))</x:f>
      </x:c>
      <x:c r="AH81" s="47"/>
      <x:c r="AI81" s="47"/>
    </x:row>
    <x:row r="82" ht="15" hidden="0" customHeight="1">
      <x:c r="A82" s="29" t="str">
        <x:f>IF($B82&lt;&gt;"","SS-"&amp;TEXT(ROW()-4,"000"),"")</x:f>
      </x:c>
      <x:c r="B82" s="47"/>
      <x:c r="C82" s="47"/>
      <x:c r="D82" s="47"/>
      <x:c r="E82" s="47"/>
      <x:c r="F82" s="47"/>
      <x:c r="G82" s="48"/>
      <x:c r="H82" s="47"/>
      <x:c r="I82" s="49"/>
      <x:c r="J82" s="49"/>
      <x:c r="K82" s="50"/>
      <x:c r="L82" s="50"/>
      <x:c r="M82" s="47"/>
      <x:c r="N82" s="47"/>
      <x:c r="O82" s="47"/>
      <x:c r="P82" s="47"/>
      <x:c r="Q82" s="29" t="str">
        <x:f>IF($B82="","",SUM($K82:$L82)+IF($M82="Yes",3,0)+IF($N82="Yes",3,0)+IF($O82="Yes",2,0)+IF($P82="Yes",2,0))</x:f>
      </x:c>
      <x:c r="R82" s="29" t="str">
        <x:f>IF($Q82="","",IF($Q82&gt;=15,"Qualified",IF($Q82&gt;=10,"Maybe","Low fit")))</x:f>
      </x:c>
      <x:c r="S82" s="47"/>
      <x:c r="T82" s="56"/>
      <x:c r="U82" s="56"/>
      <x:c r="V82" s="56"/>
      <x:c r="W82" s="56"/>
      <x:c r="X82" s="56"/>
      <x:c r="Y82" s="56"/>
      <x:c r="Z82" s="56"/>
      <x:c r="AA82" s="56"/>
      <x:c r="AB82" s="48"/>
      <x:c r="AC82" s="47"/>
      <x:c r="AD82" s="49"/>
      <x:c r="AE82" s="49"/>
      <x:c r="AF82" s="56"/>
      <x:c r="AG82" s="32" t="str">
        <x:f>IF($B82="","",IF(MAX($T82:$AA82)=0,"",TODAY()-MAX($T82:$AA82)))</x:f>
      </x:c>
      <x:c r="AH82" s="47"/>
      <x:c r="AI82" s="47"/>
    </x:row>
    <x:row r="83" ht="15" hidden="0" customHeight="1">
      <x:c r="A83" s="29" t="str">
        <x:f>IF($B83&lt;&gt;"","SS-"&amp;TEXT(ROW()-4,"000"),"")</x:f>
      </x:c>
      <x:c r="B83" s="47"/>
      <x:c r="C83" s="47"/>
      <x:c r="D83" s="47"/>
      <x:c r="E83" s="47"/>
      <x:c r="F83" s="47"/>
      <x:c r="G83" s="48"/>
      <x:c r="H83" s="47"/>
      <x:c r="I83" s="49"/>
      <x:c r="J83" s="49"/>
      <x:c r="K83" s="50"/>
      <x:c r="L83" s="50"/>
      <x:c r="M83" s="47"/>
      <x:c r="N83" s="47"/>
      <x:c r="O83" s="47"/>
      <x:c r="P83" s="47"/>
      <x:c r="Q83" s="29" t="str">
        <x:f>IF($B83="","",SUM($K83:$L83)+IF($M83="Yes",3,0)+IF($N83="Yes",3,0)+IF($O83="Yes",2,0)+IF($P83="Yes",2,0))</x:f>
      </x:c>
      <x:c r="R83" s="29" t="str">
        <x:f>IF($Q83="","",IF($Q83&gt;=15,"Qualified",IF($Q83&gt;=10,"Maybe","Low fit")))</x:f>
      </x:c>
      <x:c r="S83" s="47"/>
      <x:c r="T83" s="56"/>
      <x:c r="U83" s="56"/>
      <x:c r="V83" s="56"/>
      <x:c r="W83" s="56"/>
      <x:c r="X83" s="56"/>
      <x:c r="Y83" s="56"/>
      <x:c r="Z83" s="56"/>
      <x:c r="AA83" s="56"/>
      <x:c r="AB83" s="48"/>
      <x:c r="AC83" s="47"/>
      <x:c r="AD83" s="49"/>
      <x:c r="AE83" s="49"/>
      <x:c r="AF83" s="56"/>
      <x:c r="AG83" s="32" t="str">
        <x:f>IF($B83="","",IF(MAX($T83:$AA83)=0,"",TODAY()-MAX($T83:$AA83)))</x:f>
      </x:c>
      <x:c r="AH83" s="47"/>
      <x:c r="AI83" s="47"/>
    </x:row>
    <x:row r="84" ht="15" hidden="0" customHeight="1">
      <x:c r="A84" s="29" t="str">
        <x:f>IF($B84&lt;&gt;"","SS-"&amp;TEXT(ROW()-4,"000"),"")</x:f>
      </x:c>
      <x:c r="B84" s="47"/>
      <x:c r="C84" s="47"/>
      <x:c r="D84" s="47"/>
      <x:c r="E84" s="47"/>
      <x:c r="F84" s="47"/>
      <x:c r="G84" s="48"/>
      <x:c r="H84" s="47"/>
      <x:c r="I84" s="49"/>
      <x:c r="J84" s="49"/>
      <x:c r="K84" s="50"/>
      <x:c r="L84" s="50"/>
      <x:c r="M84" s="47"/>
      <x:c r="N84" s="47"/>
      <x:c r="O84" s="47"/>
      <x:c r="P84" s="47"/>
      <x:c r="Q84" s="29" t="str">
        <x:f>IF($B84="","",SUM($K84:$L84)+IF($M84="Yes",3,0)+IF($N84="Yes",3,0)+IF($O84="Yes",2,0)+IF($P84="Yes",2,0))</x:f>
      </x:c>
      <x:c r="R84" s="29" t="str">
        <x:f>IF($Q84="","",IF($Q84&gt;=15,"Qualified",IF($Q84&gt;=10,"Maybe","Low fit")))</x:f>
      </x:c>
      <x:c r="S84" s="47"/>
      <x:c r="T84" s="56"/>
      <x:c r="U84" s="56"/>
      <x:c r="V84" s="56"/>
      <x:c r="W84" s="56"/>
      <x:c r="X84" s="56"/>
      <x:c r="Y84" s="56"/>
      <x:c r="Z84" s="56"/>
      <x:c r="AA84" s="56"/>
      <x:c r="AB84" s="48"/>
      <x:c r="AC84" s="47"/>
      <x:c r="AD84" s="49"/>
      <x:c r="AE84" s="49"/>
      <x:c r="AF84" s="56"/>
      <x:c r="AG84" s="32" t="str">
        <x:f>IF($B84="","",IF(MAX($T84:$AA84)=0,"",TODAY()-MAX($T84:$AA84)))</x:f>
      </x:c>
      <x:c r="AH84" s="47"/>
      <x:c r="AI84" s="47"/>
    </x:row>
    <x:row r="85" ht="15" hidden="0" customHeight="1">
      <x:c r="A85" s="29" t="str">
        <x:f>IF($B85&lt;&gt;"","SS-"&amp;TEXT(ROW()-4,"000"),"")</x:f>
      </x:c>
      <x:c r="B85" s="47"/>
      <x:c r="C85" s="47"/>
      <x:c r="D85" s="47"/>
      <x:c r="E85" s="47"/>
      <x:c r="F85" s="47"/>
      <x:c r="G85" s="48"/>
      <x:c r="H85" s="47"/>
      <x:c r="I85" s="49"/>
      <x:c r="J85" s="49"/>
      <x:c r="K85" s="50"/>
      <x:c r="L85" s="50"/>
      <x:c r="M85" s="47"/>
      <x:c r="N85" s="47"/>
      <x:c r="O85" s="47"/>
      <x:c r="P85" s="47"/>
      <x:c r="Q85" s="29" t="str">
        <x:f>IF($B85="","",SUM($K85:$L85)+IF($M85="Yes",3,0)+IF($N85="Yes",3,0)+IF($O85="Yes",2,0)+IF($P85="Yes",2,0))</x:f>
      </x:c>
      <x:c r="R85" s="29" t="str">
        <x:f>IF($Q85="","",IF($Q85&gt;=15,"Qualified",IF($Q85&gt;=10,"Maybe","Low fit")))</x:f>
      </x:c>
      <x:c r="S85" s="47"/>
      <x:c r="T85" s="56"/>
      <x:c r="U85" s="56"/>
      <x:c r="V85" s="56"/>
      <x:c r="W85" s="56"/>
      <x:c r="X85" s="56"/>
      <x:c r="Y85" s="56"/>
      <x:c r="Z85" s="56"/>
      <x:c r="AA85" s="56"/>
      <x:c r="AB85" s="48"/>
      <x:c r="AC85" s="47"/>
      <x:c r="AD85" s="49"/>
      <x:c r="AE85" s="49"/>
      <x:c r="AF85" s="56"/>
      <x:c r="AG85" s="32" t="str">
        <x:f>IF($B85="","",IF(MAX($T85:$AA85)=0,"",TODAY()-MAX($T85:$AA85)))</x:f>
      </x:c>
      <x:c r="AH85" s="47"/>
      <x:c r="AI85" s="47"/>
    </x:row>
    <x:row r="86" ht="15" hidden="0" customHeight="1">
      <x:c r="A86" s="29" t="str">
        <x:f>IF($B86&lt;&gt;"","SS-"&amp;TEXT(ROW()-4,"000"),"")</x:f>
      </x:c>
      <x:c r="B86" s="47"/>
      <x:c r="C86" s="47"/>
      <x:c r="D86" s="47"/>
      <x:c r="E86" s="47"/>
      <x:c r="F86" s="47"/>
      <x:c r="G86" s="48"/>
      <x:c r="H86" s="47"/>
      <x:c r="I86" s="49"/>
      <x:c r="J86" s="49"/>
      <x:c r="K86" s="50"/>
      <x:c r="L86" s="50"/>
      <x:c r="M86" s="47"/>
      <x:c r="N86" s="47"/>
      <x:c r="O86" s="47"/>
      <x:c r="P86" s="47"/>
      <x:c r="Q86" s="29" t="str">
        <x:f>IF($B86="","",SUM($K86:$L86)+IF($M86="Yes",3,0)+IF($N86="Yes",3,0)+IF($O86="Yes",2,0)+IF($P86="Yes",2,0))</x:f>
      </x:c>
      <x:c r="R86" s="29" t="str">
        <x:f>IF($Q86="","",IF($Q86&gt;=15,"Qualified",IF($Q86&gt;=10,"Maybe","Low fit")))</x:f>
      </x:c>
      <x:c r="S86" s="47"/>
      <x:c r="T86" s="56"/>
      <x:c r="U86" s="56"/>
      <x:c r="V86" s="56"/>
      <x:c r="W86" s="56"/>
      <x:c r="X86" s="56"/>
      <x:c r="Y86" s="56"/>
      <x:c r="Z86" s="56"/>
      <x:c r="AA86" s="56"/>
      <x:c r="AB86" s="48"/>
      <x:c r="AC86" s="47"/>
      <x:c r="AD86" s="49"/>
      <x:c r="AE86" s="49"/>
      <x:c r="AF86" s="56"/>
      <x:c r="AG86" s="32" t="str">
        <x:f>IF($B86="","",IF(MAX($T86:$AA86)=0,"",TODAY()-MAX($T86:$AA86)))</x:f>
      </x:c>
      <x:c r="AH86" s="47"/>
      <x:c r="AI86" s="47"/>
    </x:row>
    <x:row r="87" ht="15" hidden="0" customHeight="1">
      <x:c r="A87" s="29" t="str">
        <x:f>IF($B87&lt;&gt;"","SS-"&amp;TEXT(ROW()-4,"000"),"")</x:f>
      </x:c>
      <x:c r="B87" s="47"/>
      <x:c r="C87" s="47"/>
      <x:c r="D87" s="47"/>
      <x:c r="E87" s="47"/>
      <x:c r="F87" s="47"/>
      <x:c r="G87" s="48"/>
      <x:c r="H87" s="47"/>
      <x:c r="I87" s="49"/>
      <x:c r="J87" s="49"/>
      <x:c r="K87" s="50"/>
      <x:c r="L87" s="50"/>
      <x:c r="M87" s="47"/>
      <x:c r="N87" s="47"/>
      <x:c r="O87" s="47"/>
      <x:c r="P87" s="47"/>
      <x:c r="Q87" s="29" t="str">
        <x:f>IF($B87="","",SUM($K87:$L87)+IF($M87="Yes",3,0)+IF($N87="Yes",3,0)+IF($O87="Yes",2,0)+IF($P87="Yes",2,0))</x:f>
      </x:c>
      <x:c r="R87" s="29" t="str">
        <x:f>IF($Q87="","",IF($Q87&gt;=15,"Qualified",IF($Q87&gt;=10,"Maybe","Low fit")))</x:f>
      </x:c>
      <x:c r="S87" s="47"/>
      <x:c r="T87" s="56"/>
      <x:c r="U87" s="56"/>
      <x:c r="V87" s="56"/>
      <x:c r="W87" s="56"/>
      <x:c r="X87" s="56"/>
      <x:c r="Y87" s="56"/>
      <x:c r="Z87" s="56"/>
      <x:c r="AA87" s="56"/>
      <x:c r="AB87" s="48"/>
      <x:c r="AC87" s="47"/>
      <x:c r="AD87" s="49"/>
      <x:c r="AE87" s="49"/>
      <x:c r="AF87" s="56"/>
      <x:c r="AG87" s="32" t="str">
        <x:f>IF($B87="","",IF(MAX($T87:$AA87)=0,"",TODAY()-MAX($T87:$AA87)))</x:f>
      </x:c>
      <x:c r="AH87" s="47"/>
      <x:c r="AI87" s="47"/>
    </x:row>
    <x:row r="88" ht="15" hidden="0" customHeight="1">
      <x:c r="A88" s="29" t="str">
        <x:f>IF($B88&lt;&gt;"","SS-"&amp;TEXT(ROW()-4,"000"),"")</x:f>
      </x:c>
      <x:c r="B88" s="47"/>
      <x:c r="C88" s="47"/>
      <x:c r="D88" s="47"/>
      <x:c r="E88" s="47"/>
      <x:c r="F88" s="47"/>
      <x:c r="G88" s="48"/>
      <x:c r="H88" s="47"/>
      <x:c r="I88" s="49"/>
      <x:c r="J88" s="49"/>
      <x:c r="K88" s="50"/>
      <x:c r="L88" s="50"/>
      <x:c r="M88" s="47"/>
      <x:c r="N88" s="47"/>
      <x:c r="O88" s="47"/>
      <x:c r="P88" s="47"/>
      <x:c r="Q88" s="29" t="str">
        <x:f>IF($B88="","",SUM($K88:$L88)+IF($M88="Yes",3,0)+IF($N88="Yes",3,0)+IF($O88="Yes",2,0)+IF($P88="Yes",2,0))</x:f>
      </x:c>
      <x:c r="R88" s="29" t="str">
        <x:f>IF($Q88="","",IF($Q88&gt;=15,"Qualified",IF($Q88&gt;=10,"Maybe","Low fit")))</x:f>
      </x:c>
      <x:c r="S88" s="47"/>
      <x:c r="T88" s="56"/>
      <x:c r="U88" s="56"/>
      <x:c r="V88" s="56"/>
      <x:c r="W88" s="56"/>
      <x:c r="X88" s="56"/>
      <x:c r="Y88" s="56"/>
      <x:c r="Z88" s="56"/>
      <x:c r="AA88" s="56"/>
      <x:c r="AB88" s="48"/>
      <x:c r="AC88" s="47"/>
      <x:c r="AD88" s="49"/>
      <x:c r="AE88" s="49"/>
      <x:c r="AF88" s="56"/>
      <x:c r="AG88" s="32" t="str">
        <x:f>IF($B88="","",IF(MAX($T88:$AA88)=0,"",TODAY()-MAX($T88:$AA88)))</x:f>
      </x:c>
      <x:c r="AH88" s="47"/>
      <x:c r="AI88" s="47"/>
    </x:row>
    <x:row r="89" ht="15" hidden="0" customHeight="1">
      <x:c r="A89" s="29" t="str">
        <x:f>IF($B89&lt;&gt;"","SS-"&amp;TEXT(ROW()-4,"000"),"")</x:f>
      </x:c>
      <x:c r="B89" s="47"/>
      <x:c r="C89" s="47"/>
      <x:c r="D89" s="47"/>
      <x:c r="E89" s="47"/>
      <x:c r="F89" s="47"/>
      <x:c r="G89" s="48"/>
      <x:c r="H89" s="47"/>
      <x:c r="I89" s="49"/>
      <x:c r="J89" s="49"/>
      <x:c r="K89" s="50"/>
      <x:c r="L89" s="50"/>
      <x:c r="M89" s="47"/>
      <x:c r="N89" s="47"/>
      <x:c r="O89" s="47"/>
      <x:c r="P89" s="47"/>
      <x:c r="Q89" s="29" t="str">
        <x:f>IF($B89="","",SUM($K89:$L89)+IF($M89="Yes",3,0)+IF($N89="Yes",3,0)+IF($O89="Yes",2,0)+IF($P89="Yes",2,0))</x:f>
      </x:c>
      <x:c r="R89" s="29" t="str">
        <x:f>IF($Q89="","",IF($Q89&gt;=15,"Qualified",IF($Q89&gt;=10,"Maybe","Low fit")))</x:f>
      </x:c>
      <x:c r="S89" s="47"/>
      <x:c r="T89" s="56"/>
      <x:c r="U89" s="56"/>
      <x:c r="V89" s="56"/>
      <x:c r="W89" s="56"/>
      <x:c r="X89" s="56"/>
      <x:c r="Y89" s="56"/>
      <x:c r="Z89" s="56"/>
      <x:c r="AA89" s="56"/>
      <x:c r="AB89" s="48"/>
      <x:c r="AC89" s="47"/>
      <x:c r="AD89" s="49"/>
      <x:c r="AE89" s="49"/>
      <x:c r="AF89" s="56"/>
      <x:c r="AG89" s="32" t="str">
        <x:f>IF($B89="","",IF(MAX($T89:$AA89)=0,"",TODAY()-MAX($T89:$AA89)))</x:f>
      </x:c>
      <x:c r="AH89" s="47"/>
      <x:c r="AI89" s="47"/>
    </x:row>
    <x:row r="90" ht="15" hidden="0" customHeight="1">
      <x:c r="A90" s="29" t="str">
        <x:f>IF($B90&lt;&gt;"","SS-"&amp;TEXT(ROW()-4,"000"),"")</x:f>
      </x:c>
      <x:c r="B90" s="47"/>
      <x:c r="C90" s="47"/>
      <x:c r="D90" s="47"/>
      <x:c r="E90" s="47"/>
      <x:c r="F90" s="47"/>
      <x:c r="G90" s="48"/>
      <x:c r="H90" s="47"/>
      <x:c r="I90" s="49"/>
      <x:c r="J90" s="49"/>
      <x:c r="K90" s="50"/>
      <x:c r="L90" s="50"/>
      <x:c r="M90" s="47"/>
      <x:c r="N90" s="47"/>
      <x:c r="O90" s="47"/>
      <x:c r="P90" s="47"/>
      <x:c r="Q90" s="29" t="str">
        <x:f>IF($B90="","",SUM($K90:$L90)+IF($M90="Yes",3,0)+IF($N90="Yes",3,0)+IF($O90="Yes",2,0)+IF($P90="Yes",2,0))</x:f>
      </x:c>
      <x:c r="R90" s="29" t="str">
        <x:f>IF($Q90="","",IF($Q90&gt;=15,"Qualified",IF($Q90&gt;=10,"Maybe","Low fit")))</x:f>
      </x:c>
      <x:c r="S90" s="47"/>
      <x:c r="T90" s="56"/>
      <x:c r="U90" s="56"/>
      <x:c r="V90" s="56"/>
      <x:c r="W90" s="56"/>
      <x:c r="X90" s="56"/>
      <x:c r="Y90" s="56"/>
      <x:c r="Z90" s="56"/>
      <x:c r="AA90" s="56"/>
      <x:c r="AB90" s="48"/>
      <x:c r="AC90" s="47"/>
      <x:c r="AD90" s="49"/>
      <x:c r="AE90" s="49"/>
      <x:c r="AF90" s="56"/>
      <x:c r="AG90" s="32" t="str">
        <x:f>IF($B90="","",IF(MAX($T90:$AA90)=0,"",TODAY()-MAX($T90:$AA90)))</x:f>
      </x:c>
      <x:c r="AH90" s="47"/>
      <x:c r="AI90" s="47"/>
    </x:row>
    <x:row r="91" ht="15" hidden="0" customHeight="1">
      <x:c r="A91" s="29" t="str">
        <x:f>IF($B91&lt;&gt;"","SS-"&amp;TEXT(ROW()-4,"000"),"")</x:f>
      </x:c>
      <x:c r="B91" s="47"/>
      <x:c r="C91" s="47"/>
      <x:c r="D91" s="47"/>
      <x:c r="E91" s="47"/>
      <x:c r="F91" s="47"/>
      <x:c r="G91" s="48"/>
      <x:c r="H91" s="47"/>
      <x:c r="I91" s="49"/>
      <x:c r="J91" s="49"/>
      <x:c r="K91" s="50"/>
      <x:c r="L91" s="50"/>
      <x:c r="M91" s="47"/>
      <x:c r="N91" s="47"/>
      <x:c r="O91" s="47"/>
      <x:c r="P91" s="47"/>
      <x:c r="Q91" s="29" t="str">
        <x:f>IF($B91="","",SUM($K91:$L91)+IF($M91="Yes",3,0)+IF($N91="Yes",3,0)+IF($O91="Yes",2,0)+IF($P91="Yes",2,0))</x:f>
      </x:c>
      <x:c r="R91" s="29" t="str">
        <x:f>IF($Q91="","",IF($Q91&gt;=15,"Qualified",IF($Q91&gt;=10,"Maybe","Low fit")))</x:f>
      </x:c>
      <x:c r="S91" s="47"/>
      <x:c r="T91" s="56"/>
      <x:c r="U91" s="56"/>
      <x:c r="V91" s="56"/>
      <x:c r="W91" s="56"/>
      <x:c r="X91" s="56"/>
      <x:c r="Y91" s="56"/>
      <x:c r="Z91" s="56"/>
      <x:c r="AA91" s="56"/>
      <x:c r="AB91" s="48"/>
      <x:c r="AC91" s="47"/>
      <x:c r="AD91" s="49"/>
      <x:c r="AE91" s="49"/>
      <x:c r="AF91" s="56"/>
      <x:c r="AG91" s="32" t="str">
        <x:f>IF($B91="","",IF(MAX($T91:$AA91)=0,"",TODAY()-MAX($T91:$AA91)))</x:f>
      </x:c>
      <x:c r="AH91" s="47"/>
      <x:c r="AI91" s="47"/>
    </x:row>
    <x:row r="92" ht="15" hidden="0" customHeight="1">
      <x:c r="A92" s="29" t="str">
        <x:f>IF($B92&lt;&gt;"","SS-"&amp;TEXT(ROW()-4,"000"),"")</x:f>
      </x:c>
      <x:c r="B92" s="47"/>
      <x:c r="C92" s="47"/>
      <x:c r="D92" s="47"/>
      <x:c r="E92" s="47"/>
      <x:c r="F92" s="47"/>
      <x:c r="G92" s="48"/>
      <x:c r="H92" s="47"/>
      <x:c r="I92" s="49"/>
      <x:c r="J92" s="49"/>
      <x:c r="K92" s="50"/>
      <x:c r="L92" s="50"/>
      <x:c r="M92" s="47"/>
      <x:c r="N92" s="47"/>
      <x:c r="O92" s="47"/>
      <x:c r="P92" s="47"/>
      <x:c r="Q92" s="29" t="str">
        <x:f>IF($B92="","",SUM($K92:$L92)+IF($M92="Yes",3,0)+IF($N92="Yes",3,0)+IF($O92="Yes",2,0)+IF($P92="Yes",2,0))</x:f>
      </x:c>
      <x:c r="R92" s="29" t="str">
        <x:f>IF($Q92="","",IF($Q92&gt;=15,"Qualified",IF($Q92&gt;=10,"Maybe","Low fit")))</x:f>
      </x:c>
      <x:c r="S92" s="47"/>
      <x:c r="T92" s="56"/>
      <x:c r="U92" s="56"/>
      <x:c r="V92" s="56"/>
      <x:c r="W92" s="56"/>
      <x:c r="X92" s="56"/>
      <x:c r="Y92" s="56"/>
      <x:c r="Z92" s="56"/>
      <x:c r="AA92" s="56"/>
      <x:c r="AB92" s="48"/>
      <x:c r="AC92" s="47"/>
      <x:c r="AD92" s="49"/>
      <x:c r="AE92" s="49"/>
      <x:c r="AF92" s="56"/>
      <x:c r="AG92" s="32" t="str">
        <x:f>IF($B92="","",IF(MAX($T92:$AA92)=0,"",TODAY()-MAX($T92:$AA92)))</x:f>
      </x:c>
      <x:c r="AH92" s="47"/>
      <x:c r="AI92" s="47"/>
    </x:row>
    <x:row r="93" ht="15" hidden="0" customHeight="1">
      <x:c r="A93" s="29" t="str">
        <x:f>IF($B93&lt;&gt;"","SS-"&amp;TEXT(ROW()-4,"000"),"")</x:f>
      </x:c>
      <x:c r="B93" s="47"/>
      <x:c r="C93" s="47"/>
      <x:c r="D93" s="47"/>
      <x:c r="E93" s="47"/>
      <x:c r="F93" s="47"/>
      <x:c r="G93" s="48"/>
      <x:c r="H93" s="47"/>
      <x:c r="I93" s="49"/>
      <x:c r="J93" s="49"/>
      <x:c r="K93" s="50"/>
      <x:c r="L93" s="50"/>
      <x:c r="M93" s="47"/>
      <x:c r="N93" s="47"/>
      <x:c r="O93" s="47"/>
      <x:c r="P93" s="47"/>
      <x:c r="Q93" s="29" t="str">
        <x:f>IF($B93="","",SUM($K93:$L93)+IF($M93="Yes",3,0)+IF($N93="Yes",3,0)+IF($O93="Yes",2,0)+IF($P93="Yes",2,0))</x:f>
      </x:c>
      <x:c r="R93" s="29" t="str">
        <x:f>IF($Q93="","",IF($Q93&gt;=15,"Qualified",IF($Q93&gt;=10,"Maybe","Low fit")))</x:f>
      </x:c>
      <x:c r="S93" s="47"/>
      <x:c r="T93" s="56"/>
      <x:c r="U93" s="56"/>
      <x:c r="V93" s="56"/>
      <x:c r="W93" s="56"/>
      <x:c r="X93" s="56"/>
      <x:c r="Y93" s="56"/>
      <x:c r="Z93" s="56"/>
      <x:c r="AA93" s="56"/>
      <x:c r="AB93" s="48"/>
      <x:c r="AC93" s="47"/>
      <x:c r="AD93" s="49"/>
      <x:c r="AE93" s="49"/>
      <x:c r="AF93" s="56"/>
      <x:c r="AG93" s="32" t="str">
        <x:f>IF($B93="","",IF(MAX($T93:$AA93)=0,"",TODAY()-MAX($T93:$AA93)))</x:f>
      </x:c>
      <x:c r="AH93" s="47"/>
      <x:c r="AI93" s="47"/>
    </x:row>
    <x:row r="94" ht="15" hidden="0" customHeight="1">
      <x:c r="A94" s="29" t="str">
        <x:f>IF($B94&lt;&gt;"","SS-"&amp;TEXT(ROW()-4,"000"),"")</x:f>
      </x:c>
      <x:c r="B94" s="47"/>
      <x:c r="C94" s="47"/>
      <x:c r="D94" s="47"/>
      <x:c r="E94" s="47"/>
      <x:c r="F94" s="47"/>
      <x:c r="G94" s="48"/>
      <x:c r="H94" s="47"/>
      <x:c r="I94" s="49"/>
      <x:c r="J94" s="49"/>
      <x:c r="K94" s="50"/>
      <x:c r="L94" s="50"/>
      <x:c r="M94" s="47"/>
      <x:c r="N94" s="47"/>
      <x:c r="O94" s="47"/>
      <x:c r="P94" s="47"/>
      <x:c r="Q94" s="29" t="str">
        <x:f>IF($B94="","",SUM($K94:$L94)+IF($M94="Yes",3,0)+IF($N94="Yes",3,0)+IF($O94="Yes",2,0)+IF($P94="Yes",2,0))</x:f>
      </x:c>
      <x:c r="R94" s="29" t="str">
        <x:f>IF($Q94="","",IF($Q94&gt;=15,"Qualified",IF($Q94&gt;=10,"Maybe","Low fit")))</x:f>
      </x:c>
      <x:c r="S94" s="47"/>
      <x:c r="T94" s="56"/>
      <x:c r="U94" s="56"/>
      <x:c r="V94" s="56"/>
      <x:c r="W94" s="56"/>
      <x:c r="X94" s="56"/>
      <x:c r="Y94" s="56"/>
      <x:c r="Z94" s="56"/>
      <x:c r="AA94" s="56"/>
      <x:c r="AB94" s="48"/>
      <x:c r="AC94" s="47"/>
      <x:c r="AD94" s="49"/>
      <x:c r="AE94" s="49"/>
      <x:c r="AF94" s="56"/>
      <x:c r="AG94" s="32" t="str">
        <x:f>IF($B94="","",IF(MAX($T94:$AA94)=0,"",TODAY()-MAX($T94:$AA94)))</x:f>
      </x:c>
      <x:c r="AH94" s="47"/>
      <x:c r="AI94" s="47"/>
    </x:row>
    <x:row r="95" ht="15" hidden="0" customHeight="1">
      <x:c r="A95" s="29" t="str">
        <x:f>IF($B95&lt;&gt;"","SS-"&amp;TEXT(ROW()-4,"000"),"")</x:f>
      </x:c>
      <x:c r="B95" s="47"/>
      <x:c r="C95" s="47"/>
      <x:c r="D95" s="47"/>
      <x:c r="E95" s="47"/>
      <x:c r="F95" s="47"/>
      <x:c r="G95" s="48"/>
      <x:c r="H95" s="47"/>
      <x:c r="I95" s="49"/>
      <x:c r="J95" s="49"/>
      <x:c r="K95" s="50"/>
      <x:c r="L95" s="50"/>
      <x:c r="M95" s="47"/>
      <x:c r="N95" s="47"/>
      <x:c r="O95" s="47"/>
      <x:c r="P95" s="47"/>
      <x:c r="Q95" s="29" t="str">
        <x:f>IF($B95="","",SUM($K95:$L95)+IF($M95="Yes",3,0)+IF($N95="Yes",3,0)+IF($O95="Yes",2,0)+IF($P95="Yes",2,0))</x:f>
      </x:c>
      <x:c r="R95" s="29" t="str">
        <x:f>IF($Q95="","",IF($Q95&gt;=15,"Qualified",IF($Q95&gt;=10,"Maybe","Low fit")))</x:f>
      </x:c>
      <x:c r="S95" s="47"/>
      <x:c r="T95" s="56"/>
      <x:c r="U95" s="56"/>
      <x:c r="V95" s="56"/>
      <x:c r="W95" s="56"/>
      <x:c r="X95" s="56"/>
      <x:c r="Y95" s="56"/>
      <x:c r="Z95" s="56"/>
      <x:c r="AA95" s="56"/>
      <x:c r="AB95" s="48"/>
      <x:c r="AC95" s="47"/>
      <x:c r="AD95" s="49"/>
      <x:c r="AE95" s="49"/>
      <x:c r="AF95" s="56"/>
      <x:c r="AG95" s="32" t="str">
        <x:f>IF($B95="","",IF(MAX($T95:$AA95)=0,"",TODAY()-MAX($T95:$AA95)))</x:f>
      </x:c>
      <x:c r="AH95" s="47"/>
      <x:c r="AI95" s="47"/>
    </x:row>
    <x:row r="96" ht="15" hidden="0" customHeight="1">
      <x:c r="A96" s="29" t="str">
        <x:f>IF($B96&lt;&gt;"","SS-"&amp;TEXT(ROW()-4,"000"),"")</x:f>
      </x:c>
      <x:c r="B96" s="47"/>
      <x:c r="C96" s="47"/>
      <x:c r="D96" s="47"/>
      <x:c r="E96" s="47"/>
      <x:c r="F96" s="47"/>
      <x:c r="G96" s="48"/>
      <x:c r="H96" s="47"/>
      <x:c r="I96" s="49"/>
      <x:c r="J96" s="49"/>
      <x:c r="K96" s="50"/>
      <x:c r="L96" s="50"/>
      <x:c r="M96" s="47"/>
      <x:c r="N96" s="47"/>
      <x:c r="O96" s="47"/>
      <x:c r="P96" s="47"/>
      <x:c r="Q96" s="29" t="str">
        <x:f>IF($B96="","",SUM($K96:$L96)+IF($M96="Yes",3,0)+IF($N96="Yes",3,0)+IF($O96="Yes",2,0)+IF($P96="Yes",2,0))</x:f>
      </x:c>
      <x:c r="R96" s="29" t="str">
        <x:f>IF($Q96="","",IF($Q96&gt;=15,"Qualified",IF($Q96&gt;=10,"Maybe","Low fit")))</x:f>
      </x:c>
      <x:c r="S96" s="47"/>
      <x:c r="T96" s="56"/>
      <x:c r="U96" s="56"/>
      <x:c r="V96" s="56"/>
      <x:c r="W96" s="56"/>
      <x:c r="X96" s="56"/>
      <x:c r="Y96" s="56"/>
      <x:c r="Z96" s="56"/>
      <x:c r="AA96" s="56"/>
      <x:c r="AB96" s="48"/>
      <x:c r="AC96" s="47"/>
      <x:c r="AD96" s="49"/>
      <x:c r="AE96" s="49"/>
      <x:c r="AF96" s="56"/>
      <x:c r="AG96" s="32" t="str">
        <x:f>IF($B96="","",IF(MAX($T96:$AA96)=0,"",TODAY()-MAX($T96:$AA96)))</x:f>
      </x:c>
      <x:c r="AH96" s="47"/>
      <x:c r="AI96" s="47"/>
    </x:row>
    <x:row r="97" ht="15" hidden="0" customHeight="1">
      <x:c r="A97" s="29" t="str">
        <x:f>IF($B97&lt;&gt;"","SS-"&amp;TEXT(ROW()-4,"000"),"")</x:f>
      </x:c>
      <x:c r="B97" s="47"/>
      <x:c r="C97" s="47"/>
      <x:c r="D97" s="47"/>
      <x:c r="E97" s="47"/>
      <x:c r="F97" s="47"/>
      <x:c r="G97" s="48"/>
      <x:c r="H97" s="47"/>
      <x:c r="I97" s="49"/>
      <x:c r="J97" s="49"/>
      <x:c r="K97" s="50"/>
      <x:c r="L97" s="50"/>
      <x:c r="M97" s="47"/>
      <x:c r="N97" s="47"/>
      <x:c r="O97" s="47"/>
      <x:c r="P97" s="47"/>
      <x:c r="Q97" s="29" t="str">
        <x:f>IF($B97="","",SUM($K97:$L97)+IF($M97="Yes",3,0)+IF($N97="Yes",3,0)+IF($O97="Yes",2,0)+IF($P97="Yes",2,0))</x:f>
      </x:c>
      <x:c r="R97" s="29" t="str">
        <x:f>IF($Q97="","",IF($Q97&gt;=15,"Qualified",IF($Q97&gt;=10,"Maybe","Low fit")))</x:f>
      </x:c>
      <x:c r="S97" s="47"/>
      <x:c r="T97" s="56"/>
      <x:c r="U97" s="56"/>
      <x:c r="V97" s="56"/>
      <x:c r="W97" s="56"/>
      <x:c r="X97" s="56"/>
      <x:c r="Y97" s="56"/>
      <x:c r="Z97" s="56"/>
      <x:c r="AA97" s="56"/>
      <x:c r="AB97" s="48"/>
      <x:c r="AC97" s="47"/>
      <x:c r="AD97" s="49"/>
      <x:c r="AE97" s="49"/>
      <x:c r="AF97" s="56"/>
      <x:c r="AG97" s="32" t="str">
        <x:f>IF($B97="","",IF(MAX($T97:$AA97)=0,"",TODAY()-MAX($T97:$AA97)))</x:f>
      </x:c>
      <x:c r="AH97" s="47"/>
      <x:c r="AI97" s="47"/>
    </x:row>
    <x:row r="98" ht="15" hidden="0" customHeight="1">
      <x:c r="A98" s="29" t="str">
        <x:f>IF($B98&lt;&gt;"","SS-"&amp;TEXT(ROW()-4,"000"),"")</x:f>
      </x:c>
      <x:c r="B98" s="47"/>
      <x:c r="C98" s="47"/>
      <x:c r="D98" s="47"/>
      <x:c r="E98" s="47"/>
      <x:c r="F98" s="47"/>
      <x:c r="G98" s="48"/>
      <x:c r="H98" s="47"/>
      <x:c r="I98" s="49"/>
      <x:c r="J98" s="49"/>
      <x:c r="K98" s="50"/>
      <x:c r="L98" s="50"/>
      <x:c r="M98" s="47"/>
      <x:c r="N98" s="47"/>
      <x:c r="O98" s="47"/>
      <x:c r="P98" s="47"/>
      <x:c r="Q98" s="29" t="str">
        <x:f>IF($B98="","",SUM($K98:$L98)+IF($M98="Yes",3,0)+IF($N98="Yes",3,0)+IF($O98="Yes",2,0)+IF($P98="Yes",2,0))</x:f>
      </x:c>
      <x:c r="R98" s="29" t="str">
        <x:f>IF($Q98="","",IF($Q98&gt;=15,"Qualified",IF($Q98&gt;=10,"Maybe","Low fit")))</x:f>
      </x:c>
      <x:c r="S98" s="47"/>
      <x:c r="T98" s="56"/>
      <x:c r="U98" s="56"/>
      <x:c r="V98" s="56"/>
      <x:c r="W98" s="56"/>
      <x:c r="X98" s="56"/>
      <x:c r="Y98" s="56"/>
      <x:c r="Z98" s="56"/>
      <x:c r="AA98" s="56"/>
      <x:c r="AB98" s="48"/>
      <x:c r="AC98" s="47"/>
      <x:c r="AD98" s="49"/>
      <x:c r="AE98" s="49"/>
      <x:c r="AF98" s="56"/>
      <x:c r="AG98" s="32" t="str">
        <x:f>IF($B98="","",IF(MAX($T98:$AA98)=0,"",TODAY()-MAX($T98:$AA98)))</x:f>
      </x:c>
      <x:c r="AH98" s="47"/>
      <x:c r="AI98" s="47"/>
    </x:row>
    <x:row r="99" ht="15" hidden="0" customHeight="1">
      <x:c r="A99" s="29" t="str">
        <x:f>IF($B99&lt;&gt;"","SS-"&amp;TEXT(ROW()-4,"000"),"")</x:f>
      </x:c>
      <x:c r="B99" s="47"/>
      <x:c r="C99" s="47"/>
      <x:c r="D99" s="47"/>
      <x:c r="E99" s="47"/>
      <x:c r="F99" s="47"/>
      <x:c r="G99" s="48"/>
      <x:c r="H99" s="47"/>
      <x:c r="I99" s="49"/>
      <x:c r="J99" s="49"/>
      <x:c r="K99" s="50"/>
      <x:c r="L99" s="50"/>
      <x:c r="M99" s="47"/>
      <x:c r="N99" s="47"/>
      <x:c r="O99" s="47"/>
      <x:c r="P99" s="47"/>
      <x:c r="Q99" s="29" t="str">
        <x:f>IF($B99="","",SUM($K99:$L99)+IF($M99="Yes",3,0)+IF($N99="Yes",3,0)+IF($O99="Yes",2,0)+IF($P99="Yes",2,0))</x:f>
      </x:c>
      <x:c r="R99" s="29" t="str">
        <x:f>IF($Q99="","",IF($Q99&gt;=15,"Qualified",IF($Q99&gt;=10,"Maybe","Low fit")))</x:f>
      </x:c>
      <x:c r="S99" s="47"/>
      <x:c r="T99" s="56"/>
      <x:c r="U99" s="56"/>
      <x:c r="V99" s="56"/>
      <x:c r="W99" s="56"/>
      <x:c r="X99" s="56"/>
      <x:c r="Y99" s="56"/>
      <x:c r="Z99" s="56"/>
      <x:c r="AA99" s="56"/>
      <x:c r="AB99" s="48"/>
      <x:c r="AC99" s="47"/>
      <x:c r="AD99" s="49"/>
      <x:c r="AE99" s="49"/>
      <x:c r="AF99" s="56"/>
      <x:c r="AG99" s="32" t="str">
        <x:f>IF($B99="","",IF(MAX($T99:$AA99)=0,"",TODAY()-MAX($T99:$AA99)))</x:f>
      </x:c>
      <x:c r="AH99" s="47"/>
      <x:c r="AI99" s="47"/>
    </x:row>
    <x:row r="100" ht="15" hidden="0" customHeight="1">
      <x:c r="A100" s="29" t="str">
        <x:f>IF($B100&lt;&gt;"","SS-"&amp;TEXT(ROW()-4,"000"),"")</x:f>
      </x:c>
      <x:c r="B100" s="47"/>
      <x:c r="C100" s="47"/>
      <x:c r="D100" s="47"/>
      <x:c r="E100" s="47"/>
      <x:c r="F100" s="47"/>
      <x:c r="G100" s="48"/>
      <x:c r="H100" s="47"/>
      <x:c r="I100" s="49"/>
      <x:c r="J100" s="49"/>
      <x:c r="K100" s="50"/>
      <x:c r="L100" s="50"/>
      <x:c r="M100" s="47"/>
      <x:c r="N100" s="47"/>
      <x:c r="O100" s="47"/>
      <x:c r="P100" s="47"/>
      <x:c r="Q100" s="29" t="str">
        <x:f>IF($B100="","",SUM($K100:$L100)+IF($M100="Yes",3,0)+IF($N100="Yes",3,0)+IF($O100="Yes",2,0)+IF($P100="Yes",2,0))</x:f>
      </x:c>
      <x:c r="R100" s="29" t="str">
        <x:f>IF($Q100="","",IF($Q100&gt;=15,"Qualified",IF($Q100&gt;=10,"Maybe","Low fit")))</x:f>
      </x:c>
      <x:c r="S100" s="47"/>
      <x:c r="T100" s="56"/>
      <x:c r="U100" s="56"/>
      <x:c r="V100" s="56"/>
      <x:c r="W100" s="56"/>
      <x:c r="X100" s="56"/>
      <x:c r="Y100" s="56"/>
      <x:c r="Z100" s="56"/>
      <x:c r="AA100" s="56"/>
      <x:c r="AB100" s="48"/>
      <x:c r="AC100" s="47"/>
      <x:c r="AD100" s="49"/>
      <x:c r="AE100" s="49"/>
      <x:c r="AF100" s="56"/>
      <x:c r="AG100" s="32" t="str">
        <x:f>IF($B100="","",IF(MAX($T100:$AA100)=0,"",TODAY()-MAX($T100:$AA100)))</x:f>
      </x:c>
      <x:c r="AH100" s="47"/>
      <x:c r="AI100" s="47"/>
    </x:row>
    <x:row r="101" ht="15" hidden="0" customHeight="1">
      <x:c r="A101" s="29" t="str">
        <x:f>IF($B101&lt;&gt;"","SS-"&amp;TEXT(ROW()-4,"000"),"")</x:f>
      </x:c>
      <x:c r="B101" s="47"/>
      <x:c r="C101" s="47"/>
      <x:c r="D101" s="47"/>
      <x:c r="E101" s="47"/>
      <x:c r="F101" s="47"/>
      <x:c r="G101" s="48"/>
      <x:c r="H101" s="47"/>
      <x:c r="I101" s="49"/>
      <x:c r="J101" s="49"/>
      <x:c r="K101" s="50"/>
      <x:c r="L101" s="50"/>
      <x:c r="M101" s="47"/>
      <x:c r="N101" s="47"/>
      <x:c r="O101" s="47"/>
      <x:c r="P101" s="47"/>
      <x:c r="Q101" s="29" t="str">
        <x:f>IF($B101="","",SUM($K101:$L101)+IF($M101="Yes",3,0)+IF($N101="Yes",3,0)+IF($O101="Yes",2,0)+IF($P101="Yes",2,0))</x:f>
      </x:c>
      <x:c r="R101" s="29" t="str">
        <x:f>IF($Q101="","",IF($Q101&gt;=15,"Qualified",IF($Q101&gt;=10,"Maybe","Low fit")))</x:f>
      </x:c>
      <x:c r="S101" s="47"/>
      <x:c r="T101" s="56"/>
      <x:c r="U101" s="56"/>
      <x:c r="V101" s="56"/>
      <x:c r="W101" s="56"/>
      <x:c r="X101" s="56"/>
      <x:c r="Y101" s="56"/>
      <x:c r="Z101" s="56"/>
      <x:c r="AA101" s="56"/>
      <x:c r="AB101" s="48"/>
      <x:c r="AC101" s="47"/>
      <x:c r="AD101" s="49"/>
      <x:c r="AE101" s="49"/>
      <x:c r="AF101" s="56"/>
      <x:c r="AG101" s="32" t="str">
        <x:f>IF($B101="","",IF(MAX($T101:$AA101)=0,"",TODAY()-MAX($T101:$AA101)))</x:f>
      </x:c>
      <x:c r="AH101" s="47"/>
      <x:c r="AI101" s="47"/>
    </x:row>
    <x:row r="102" ht="15" hidden="0" customHeight="1">
      <x:c r="A102" s="29" t="str">
        <x:f>IF($B102&lt;&gt;"","SS-"&amp;TEXT(ROW()-4,"000"),"")</x:f>
      </x:c>
      <x:c r="B102" s="47"/>
      <x:c r="C102" s="47"/>
      <x:c r="D102" s="47"/>
      <x:c r="E102" s="47"/>
      <x:c r="F102" s="47"/>
      <x:c r="G102" s="48"/>
      <x:c r="H102" s="47"/>
      <x:c r="I102" s="49"/>
      <x:c r="J102" s="49"/>
      <x:c r="K102" s="50"/>
      <x:c r="L102" s="50"/>
      <x:c r="M102" s="47"/>
      <x:c r="N102" s="47"/>
      <x:c r="O102" s="47"/>
      <x:c r="P102" s="47"/>
      <x:c r="Q102" s="29" t="str">
        <x:f>IF($B102="","",SUM($K102:$L102)+IF($M102="Yes",3,0)+IF($N102="Yes",3,0)+IF($O102="Yes",2,0)+IF($P102="Yes",2,0))</x:f>
      </x:c>
      <x:c r="R102" s="29" t="str">
        <x:f>IF($Q102="","",IF($Q102&gt;=15,"Qualified",IF($Q102&gt;=10,"Maybe","Low fit")))</x:f>
      </x:c>
      <x:c r="S102" s="47"/>
      <x:c r="T102" s="56"/>
      <x:c r="U102" s="56"/>
      <x:c r="V102" s="56"/>
      <x:c r="W102" s="56"/>
      <x:c r="X102" s="56"/>
      <x:c r="Y102" s="56"/>
      <x:c r="Z102" s="56"/>
      <x:c r="AA102" s="56"/>
      <x:c r="AB102" s="48"/>
      <x:c r="AC102" s="47"/>
      <x:c r="AD102" s="49"/>
      <x:c r="AE102" s="49"/>
      <x:c r="AF102" s="56"/>
      <x:c r="AG102" s="32" t="str">
        <x:f>IF($B102="","",IF(MAX($T102:$AA102)=0,"",TODAY()-MAX($T102:$AA102)))</x:f>
      </x:c>
      <x:c r="AH102" s="47"/>
      <x:c r="AI102" s="47"/>
    </x:row>
    <x:row r="103" ht="15" hidden="0" customHeight="1">
      <x:c r="A103" s="29" t="str">
        <x:f>IF($B103&lt;&gt;"","SS-"&amp;TEXT(ROW()-4,"000"),"")</x:f>
      </x:c>
      <x:c r="B103" s="47"/>
      <x:c r="C103" s="47"/>
      <x:c r="D103" s="47"/>
      <x:c r="E103" s="47"/>
      <x:c r="F103" s="47"/>
      <x:c r="G103" s="48"/>
      <x:c r="H103" s="47"/>
      <x:c r="I103" s="49"/>
      <x:c r="J103" s="49"/>
      <x:c r="K103" s="50"/>
      <x:c r="L103" s="50"/>
      <x:c r="M103" s="47"/>
      <x:c r="N103" s="47"/>
      <x:c r="O103" s="47"/>
      <x:c r="P103" s="47"/>
      <x:c r="Q103" s="29" t="str">
        <x:f>IF($B103="","",SUM($K103:$L103)+IF($M103="Yes",3,0)+IF($N103="Yes",3,0)+IF($O103="Yes",2,0)+IF($P103="Yes",2,0))</x:f>
      </x:c>
      <x:c r="R103" s="29" t="str">
        <x:f>IF($Q103="","",IF($Q103&gt;=15,"Qualified",IF($Q103&gt;=10,"Maybe","Low fit")))</x:f>
      </x:c>
      <x:c r="S103" s="47"/>
      <x:c r="T103" s="56"/>
      <x:c r="U103" s="56"/>
      <x:c r="V103" s="56"/>
      <x:c r="W103" s="56"/>
      <x:c r="X103" s="56"/>
      <x:c r="Y103" s="56"/>
      <x:c r="Z103" s="56"/>
      <x:c r="AA103" s="56"/>
      <x:c r="AB103" s="48"/>
      <x:c r="AC103" s="47"/>
      <x:c r="AD103" s="49"/>
      <x:c r="AE103" s="49"/>
      <x:c r="AF103" s="56"/>
      <x:c r="AG103" s="32" t="str">
        <x:f>IF($B103="","",IF(MAX($T103:$AA103)=0,"",TODAY()-MAX($T103:$AA103)))</x:f>
      </x:c>
      <x:c r="AH103" s="47"/>
      <x:c r="AI103" s="47"/>
    </x:row>
    <x:row r="104" ht="15" hidden="0" customHeight="1">
      <x:c r="A104" s="29" t="str">
        <x:f>IF($B104&lt;&gt;"","SS-"&amp;TEXT(ROW()-4,"000"),"")</x:f>
      </x:c>
      <x:c r="B104" s="47"/>
      <x:c r="C104" s="47"/>
      <x:c r="D104" s="47"/>
      <x:c r="E104" s="47"/>
      <x:c r="F104" s="47"/>
      <x:c r="G104" s="48"/>
      <x:c r="H104" s="47"/>
      <x:c r="I104" s="49"/>
      <x:c r="J104" s="49"/>
      <x:c r="K104" s="50"/>
      <x:c r="L104" s="50"/>
      <x:c r="M104" s="47"/>
      <x:c r="N104" s="47"/>
      <x:c r="O104" s="47"/>
      <x:c r="P104" s="47"/>
      <x:c r="Q104" s="29" t="str">
        <x:f>IF($B104="","",SUM($K104:$L104)+IF($M104="Yes",3,0)+IF($N104="Yes",3,0)+IF($O104="Yes",2,0)+IF($P104="Yes",2,0))</x:f>
      </x:c>
      <x:c r="R104" s="29" t="str">
        <x:f>IF($Q104="","",IF($Q104&gt;=15,"Qualified",IF($Q104&gt;=10,"Maybe","Low fit")))</x:f>
      </x:c>
      <x:c r="S104" s="47"/>
      <x:c r="T104" s="56"/>
      <x:c r="U104" s="56"/>
      <x:c r="V104" s="56"/>
      <x:c r="W104" s="56"/>
      <x:c r="X104" s="56"/>
      <x:c r="Y104" s="56"/>
      <x:c r="Z104" s="56"/>
      <x:c r="AA104" s="56"/>
      <x:c r="AB104" s="48"/>
      <x:c r="AC104" s="47"/>
      <x:c r="AD104" s="49"/>
      <x:c r="AE104" s="49"/>
      <x:c r="AF104" s="56"/>
      <x:c r="AG104" s="32" t="str">
        <x:f>IF($B104="","",IF(MAX($T104:$AA104)=0,"",TODAY()-MAX($T104:$AA104)))</x:f>
      </x:c>
      <x:c r="AH104" s="47"/>
      <x:c r="AI104" s="47"/>
    </x:row>
    <x:row r="105" ht="15" hidden="0" customHeight="1">
      <x:c r="A105" s="29" t="str">
        <x:f>IF($B105&lt;&gt;"","SS-"&amp;TEXT(ROW()-4,"000"),"")</x:f>
      </x:c>
      <x:c r="B105" s="47"/>
      <x:c r="C105" s="47"/>
      <x:c r="D105" s="47"/>
      <x:c r="E105" s="47"/>
      <x:c r="F105" s="47"/>
      <x:c r="G105" s="48"/>
      <x:c r="H105" s="47"/>
      <x:c r="I105" s="49"/>
      <x:c r="J105" s="49"/>
      <x:c r="K105" s="50"/>
      <x:c r="L105" s="50"/>
      <x:c r="M105" s="47"/>
      <x:c r="N105" s="47"/>
      <x:c r="O105" s="47"/>
      <x:c r="P105" s="47"/>
      <x:c r="Q105" s="29" t="str">
        <x:f>IF($B105="","",SUM($K105:$L105)+IF($M105="Yes",3,0)+IF($N105="Yes",3,0)+IF($O105="Yes",2,0)+IF($P105="Yes",2,0))</x:f>
      </x:c>
      <x:c r="R105" s="29" t="str">
        <x:f>IF($Q105="","",IF($Q105&gt;=15,"Qualified",IF($Q105&gt;=10,"Maybe","Low fit")))</x:f>
      </x:c>
      <x:c r="S105" s="47"/>
      <x:c r="T105" s="56"/>
      <x:c r="U105" s="56"/>
      <x:c r="V105" s="56"/>
      <x:c r="W105" s="56"/>
      <x:c r="X105" s="56"/>
      <x:c r="Y105" s="56"/>
      <x:c r="Z105" s="56"/>
      <x:c r="AA105" s="56"/>
      <x:c r="AB105" s="48"/>
      <x:c r="AC105" s="47"/>
      <x:c r="AD105" s="49"/>
      <x:c r="AE105" s="49"/>
      <x:c r="AF105" s="56"/>
      <x:c r="AG105" s="32" t="str">
        <x:f>IF($B105="","",IF(MAX($T105:$AA105)=0,"",TODAY()-MAX($T105:$AA105)))</x:f>
      </x:c>
      <x:c r="AH105" s="47"/>
      <x:c r="AI105" s="47"/>
    </x:row>
    <x:row r="106" ht="15" hidden="0" customHeight="1">
      <x:c r="A106" s="29" t="str">
        <x:f>IF($B106&lt;&gt;"","SS-"&amp;TEXT(ROW()-4,"000"),"")</x:f>
      </x:c>
      <x:c r="B106" s="47"/>
      <x:c r="C106" s="47"/>
      <x:c r="D106" s="47"/>
      <x:c r="E106" s="47"/>
      <x:c r="F106" s="47"/>
      <x:c r="G106" s="48"/>
      <x:c r="H106" s="47"/>
      <x:c r="I106" s="49"/>
      <x:c r="J106" s="49"/>
      <x:c r="K106" s="50"/>
      <x:c r="L106" s="50"/>
      <x:c r="M106" s="47"/>
      <x:c r="N106" s="47"/>
      <x:c r="O106" s="47"/>
      <x:c r="P106" s="47"/>
      <x:c r="Q106" s="29" t="str">
        <x:f>IF($B106="","",SUM($K106:$L106)+IF($M106="Yes",3,0)+IF($N106="Yes",3,0)+IF($O106="Yes",2,0)+IF($P106="Yes",2,0))</x:f>
      </x:c>
      <x:c r="R106" s="29" t="str">
        <x:f>IF($Q106="","",IF($Q106&gt;=15,"Qualified",IF($Q106&gt;=10,"Maybe","Low fit")))</x:f>
      </x:c>
      <x:c r="S106" s="47"/>
      <x:c r="T106" s="56"/>
      <x:c r="U106" s="56"/>
      <x:c r="V106" s="56"/>
      <x:c r="W106" s="56"/>
      <x:c r="X106" s="56"/>
      <x:c r="Y106" s="56"/>
      <x:c r="Z106" s="56"/>
      <x:c r="AA106" s="56"/>
      <x:c r="AB106" s="48"/>
      <x:c r="AC106" s="47"/>
      <x:c r="AD106" s="49"/>
      <x:c r="AE106" s="49"/>
      <x:c r="AF106" s="56"/>
      <x:c r="AG106" s="32" t="str">
        <x:f>IF($B106="","",IF(MAX($T106:$AA106)=0,"",TODAY()-MAX($T106:$AA106)))</x:f>
      </x:c>
      <x:c r="AH106" s="47"/>
      <x:c r="AI106" s="47"/>
    </x:row>
    <x:row r="107" ht="15" hidden="0" customHeight="1">
      <x:c r="A107" s="29" t="str">
        <x:f>IF($B107&lt;&gt;"","SS-"&amp;TEXT(ROW()-4,"000"),"")</x:f>
      </x:c>
      <x:c r="B107" s="47"/>
      <x:c r="C107" s="47"/>
      <x:c r="D107" s="47"/>
      <x:c r="E107" s="47"/>
      <x:c r="F107" s="47"/>
      <x:c r="G107" s="48"/>
      <x:c r="H107" s="47"/>
      <x:c r="I107" s="49"/>
      <x:c r="J107" s="49"/>
      <x:c r="K107" s="50"/>
      <x:c r="L107" s="50"/>
      <x:c r="M107" s="47"/>
      <x:c r="N107" s="47"/>
      <x:c r="O107" s="47"/>
      <x:c r="P107" s="47"/>
      <x:c r="Q107" s="29" t="str">
        <x:f>IF($B107="","",SUM($K107:$L107)+IF($M107="Yes",3,0)+IF($N107="Yes",3,0)+IF($O107="Yes",2,0)+IF($P107="Yes",2,0))</x:f>
      </x:c>
      <x:c r="R107" s="29" t="str">
        <x:f>IF($Q107="","",IF($Q107&gt;=15,"Qualified",IF($Q107&gt;=10,"Maybe","Low fit")))</x:f>
      </x:c>
      <x:c r="S107" s="47"/>
      <x:c r="T107" s="56"/>
      <x:c r="U107" s="56"/>
      <x:c r="V107" s="56"/>
      <x:c r="W107" s="56"/>
      <x:c r="X107" s="56"/>
      <x:c r="Y107" s="56"/>
      <x:c r="Z107" s="56"/>
      <x:c r="AA107" s="56"/>
      <x:c r="AB107" s="48"/>
      <x:c r="AC107" s="47"/>
      <x:c r="AD107" s="49"/>
      <x:c r="AE107" s="49"/>
      <x:c r="AF107" s="56"/>
      <x:c r="AG107" s="32" t="str">
        <x:f>IF($B107="","",IF(MAX($T107:$AA107)=0,"",TODAY()-MAX($T107:$AA107)))</x:f>
      </x:c>
      <x:c r="AH107" s="47"/>
      <x:c r="AI107" s="47"/>
    </x:row>
    <x:row r="108" ht="15" hidden="0" customHeight="1">
      <x:c r="A108" s="29" t="str">
        <x:f>IF($B108&lt;&gt;"","SS-"&amp;TEXT(ROW()-4,"000"),"")</x:f>
      </x:c>
      <x:c r="B108" s="47"/>
      <x:c r="C108" s="47"/>
      <x:c r="D108" s="47"/>
      <x:c r="E108" s="47"/>
      <x:c r="F108" s="47"/>
      <x:c r="G108" s="48"/>
      <x:c r="H108" s="47"/>
      <x:c r="I108" s="49"/>
      <x:c r="J108" s="49"/>
      <x:c r="K108" s="50"/>
      <x:c r="L108" s="50"/>
      <x:c r="M108" s="47"/>
      <x:c r="N108" s="47"/>
      <x:c r="O108" s="47"/>
      <x:c r="P108" s="47"/>
      <x:c r="Q108" s="29" t="str">
        <x:f>IF($B108="","",SUM($K108:$L108)+IF($M108="Yes",3,0)+IF($N108="Yes",3,0)+IF($O108="Yes",2,0)+IF($P108="Yes",2,0))</x:f>
      </x:c>
      <x:c r="R108" s="29" t="str">
        <x:f>IF($Q108="","",IF($Q108&gt;=15,"Qualified",IF($Q108&gt;=10,"Maybe","Low fit")))</x:f>
      </x:c>
      <x:c r="S108" s="47"/>
      <x:c r="T108" s="56"/>
      <x:c r="U108" s="56"/>
      <x:c r="V108" s="56"/>
      <x:c r="W108" s="56"/>
      <x:c r="X108" s="56"/>
      <x:c r="Y108" s="56"/>
      <x:c r="Z108" s="56"/>
      <x:c r="AA108" s="56"/>
      <x:c r="AB108" s="48"/>
      <x:c r="AC108" s="47"/>
      <x:c r="AD108" s="49"/>
      <x:c r="AE108" s="49"/>
      <x:c r="AF108" s="56"/>
      <x:c r="AG108" s="32" t="str">
        <x:f>IF($B108="","",IF(MAX($T108:$AA108)=0,"",TODAY()-MAX($T108:$AA108)))</x:f>
      </x:c>
      <x:c r="AH108" s="47"/>
      <x:c r="AI108" s="47"/>
    </x:row>
    <x:row r="109" ht="15" hidden="0" customHeight="1">
      <x:c r="A109" s="29" t="str">
        <x:f>IF($B109&lt;&gt;"","SS-"&amp;TEXT(ROW()-4,"000"),"")</x:f>
      </x:c>
      <x:c r="B109" s="47"/>
      <x:c r="C109" s="47"/>
      <x:c r="D109" s="47"/>
      <x:c r="E109" s="47"/>
      <x:c r="F109" s="47"/>
      <x:c r="G109" s="48"/>
      <x:c r="H109" s="47"/>
      <x:c r="I109" s="49"/>
      <x:c r="J109" s="49"/>
      <x:c r="K109" s="50"/>
      <x:c r="L109" s="50"/>
      <x:c r="M109" s="47"/>
      <x:c r="N109" s="47"/>
      <x:c r="O109" s="47"/>
      <x:c r="P109" s="47"/>
      <x:c r="Q109" s="29" t="str">
        <x:f>IF($B109="","",SUM($K109:$L109)+IF($M109="Yes",3,0)+IF($N109="Yes",3,0)+IF($O109="Yes",2,0)+IF($P109="Yes",2,0))</x:f>
      </x:c>
      <x:c r="R109" s="29" t="str">
        <x:f>IF($Q109="","",IF($Q109&gt;=15,"Qualified",IF($Q109&gt;=10,"Maybe","Low fit")))</x:f>
      </x:c>
      <x:c r="S109" s="47"/>
      <x:c r="T109" s="56"/>
      <x:c r="U109" s="56"/>
      <x:c r="V109" s="56"/>
      <x:c r="W109" s="56"/>
      <x:c r="X109" s="56"/>
      <x:c r="Y109" s="56"/>
      <x:c r="Z109" s="56"/>
      <x:c r="AA109" s="56"/>
      <x:c r="AB109" s="48"/>
      <x:c r="AC109" s="47"/>
      <x:c r="AD109" s="49"/>
      <x:c r="AE109" s="49"/>
      <x:c r="AF109" s="56"/>
      <x:c r="AG109" s="32" t="str">
        <x:f>IF($B109="","",IF(MAX($T109:$AA109)=0,"",TODAY()-MAX($T109:$AA109)))</x:f>
      </x:c>
      <x:c r="AH109" s="47"/>
      <x:c r="AI109" s="47"/>
    </x:row>
    <x:row r="110" ht="15" hidden="0" customHeight="1">
      <x:c r="A110" s="29" t="str">
        <x:f>IF($B110&lt;&gt;"","SS-"&amp;TEXT(ROW()-4,"000"),"")</x:f>
      </x:c>
      <x:c r="B110" s="47"/>
      <x:c r="C110" s="47"/>
      <x:c r="D110" s="47"/>
      <x:c r="E110" s="47"/>
      <x:c r="F110" s="47"/>
      <x:c r="G110" s="48"/>
      <x:c r="H110" s="47"/>
      <x:c r="I110" s="49"/>
      <x:c r="J110" s="49"/>
      <x:c r="K110" s="50"/>
      <x:c r="L110" s="50"/>
      <x:c r="M110" s="47"/>
      <x:c r="N110" s="47"/>
      <x:c r="O110" s="47"/>
      <x:c r="P110" s="47"/>
      <x:c r="Q110" s="29" t="str">
        <x:f>IF($B110="","",SUM($K110:$L110)+IF($M110="Yes",3,0)+IF($N110="Yes",3,0)+IF($O110="Yes",2,0)+IF($P110="Yes",2,0))</x:f>
      </x:c>
      <x:c r="R110" s="29" t="str">
        <x:f>IF($Q110="","",IF($Q110&gt;=15,"Qualified",IF($Q110&gt;=10,"Maybe","Low fit")))</x:f>
      </x:c>
      <x:c r="S110" s="47"/>
      <x:c r="T110" s="56"/>
      <x:c r="U110" s="56"/>
      <x:c r="V110" s="56"/>
      <x:c r="W110" s="56"/>
      <x:c r="X110" s="56"/>
      <x:c r="Y110" s="56"/>
      <x:c r="Z110" s="56"/>
      <x:c r="AA110" s="56"/>
      <x:c r="AB110" s="48"/>
      <x:c r="AC110" s="47"/>
      <x:c r="AD110" s="49"/>
      <x:c r="AE110" s="49"/>
      <x:c r="AF110" s="56"/>
      <x:c r="AG110" s="32" t="str">
        <x:f>IF($B110="","",IF(MAX($T110:$AA110)=0,"",TODAY()-MAX($T110:$AA110)))</x:f>
      </x:c>
      <x:c r="AH110" s="47"/>
      <x:c r="AI110" s="47"/>
    </x:row>
    <x:row r="111" ht="15" hidden="0" customHeight="1">
      <x:c r="A111" s="29" t="str">
        <x:f>IF($B111&lt;&gt;"","SS-"&amp;TEXT(ROW()-4,"000"),"")</x:f>
      </x:c>
      <x:c r="B111" s="47"/>
      <x:c r="C111" s="47"/>
      <x:c r="D111" s="47"/>
      <x:c r="E111" s="47"/>
      <x:c r="F111" s="47"/>
      <x:c r="G111" s="48"/>
      <x:c r="H111" s="47"/>
      <x:c r="I111" s="49"/>
      <x:c r="J111" s="49"/>
      <x:c r="K111" s="50"/>
      <x:c r="L111" s="50"/>
      <x:c r="M111" s="47"/>
      <x:c r="N111" s="47"/>
      <x:c r="O111" s="47"/>
      <x:c r="P111" s="47"/>
      <x:c r="Q111" s="29" t="str">
        <x:f>IF($B111="","",SUM($K111:$L111)+IF($M111="Yes",3,0)+IF($N111="Yes",3,0)+IF($O111="Yes",2,0)+IF($P111="Yes",2,0))</x:f>
      </x:c>
      <x:c r="R111" s="29" t="str">
        <x:f>IF($Q111="","",IF($Q111&gt;=15,"Qualified",IF($Q111&gt;=10,"Maybe","Low fit")))</x:f>
      </x:c>
      <x:c r="S111" s="47"/>
      <x:c r="T111" s="56"/>
      <x:c r="U111" s="56"/>
      <x:c r="V111" s="56"/>
      <x:c r="W111" s="56"/>
      <x:c r="X111" s="56"/>
      <x:c r="Y111" s="56"/>
      <x:c r="Z111" s="56"/>
      <x:c r="AA111" s="56"/>
      <x:c r="AB111" s="48"/>
      <x:c r="AC111" s="47"/>
      <x:c r="AD111" s="49"/>
      <x:c r="AE111" s="49"/>
      <x:c r="AF111" s="56"/>
      <x:c r="AG111" s="32" t="str">
        <x:f>IF($B111="","",IF(MAX($T111:$AA111)=0,"",TODAY()-MAX($T111:$AA111)))</x:f>
      </x:c>
      <x:c r="AH111" s="47"/>
      <x:c r="AI111" s="47"/>
    </x:row>
    <x:row r="112" ht="15" hidden="0" customHeight="1">
      <x:c r="A112" s="29" t="str">
        <x:f>IF($B112&lt;&gt;"","SS-"&amp;TEXT(ROW()-4,"000"),"")</x:f>
      </x:c>
      <x:c r="B112" s="47"/>
      <x:c r="C112" s="47"/>
      <x:c r="D112" s="47"/>
      <x:c r="E112" s="47"/>
      <x:c r="F112" s="47"/>
      <x:c r="G112" s="48"/>
      <x:c r="H112" s="47"/>
      <x:c r="I112" s="49"/>
      <x:c r="J112" s="49"/>
      <x:c r="K112" s="50"/>
      <x:c r="L112" s="50"/>
      <x:c r="M112" s="47"/>
      <x:c r="N112" s="47"/>
      <x:c r="O112" s="47"/>
      <x:c r="P112" s="47"/>
      <x:c r="Q112" s="29" t="str">
        <x:f>IF($B112="","",SUM($K112:$L112)+IF($M112="Yes",3,0)+IF($N112="Yes",3,0)+IF($O112="Yes",2,0)+IF($P112="Yes",2,0))</x:f>
      </x:c>
      <x:c r="R112" s="29" t="str">
        <x:f>IF($Q112="","",IF($Q112&gt;=15,"Qualified",IF($Q112&gt;=10,"Maybe","Low fit")))</x:f>
      </x:c>
      <x:c r="S112" s="47"/>
      <x:c r="T112" s="56"/>
      <x:c r="U112" s="56"/>
      <x:c r="V112" s="56"/>
      <x:c r="W112" s="56"/>
      <x:c r="X112" s="56"/>
      <x:c r="Y112" s="56"/>
      <x:c r="Z112" s="56"/>
      <x:c r="AA112" s="56"/>
      <x:c r="AB112" s="48"/>
      <x:c r="AC112" s="47"/>
      <x:c r="AD112" s="49"/>
      <x:c r="AE112" s="49"/>
      <x:c r="AF112" s="56"/>
      <x:c r="AG112" s="32" t="str">
        <x:f>IF($B112="","",IF(MAX($T112:$AA112)=0,"",TODAY()-MAX($T112:$AA112)))</x:f>
      </x:c>
      <x:c r="AH112" s="47"/>
      <x:c r="AI112" s="47"/>
    </x:row>
    <x:row r="113" ht="15" hidden="0" customHeight="1">
      <x:c r="A113" s="29" t="str">
        <x:f>IF($B113&lt;&gt;"","SS-"&amp;TEXT(ROW()-4,"000"),"")</x:f>
      </x:c>
      <x:c r="B113" s="47"/>
      <x:c r="C113" s="47"/>
      <x:c r="D113" s="47"/>
      <x:c r="E113" s="47"/>
      <x:c r="F113" s="47"/>
      <x:c r="G113" s="48"/>
      <x:c r="H113" s="47"/>
      <x:c r="I113" s="49"/>
      <x:c r="J113" s="49"/>
      <x:c r="K113" s="50"/>
      <x:c r="L113" s="50"/>
      <x:c r="M113" s="47"/>
      <x:c r="N113" s="47"/>
      <x:c r="O113" s="47"/>
      <x:c r="P113" s="47"/>
      <x:c r="Q113" s="29" t="str">
        <x:f>IF($B113="","",SUM($K113:$L113)+IF($M113="Yes",3,0)+IF($N113="Yes",3,0)+IF($O113="Yes",2,0)+IF($P113="Yes",2,0))</x:f>
      </x:c>
      <x:c r="R113" s="29" t="str">
        <x:f>IF($Q113="","",IF($Q113&gt;=15,"Qualified",IF($Q113&gt;=10,"Maybe","Low fit")))</x:f>
      </x:c>
      <x:c r="S113" s="47"/>
      <x:c r="T113" s="56"/>
      <x:c r="U113" s="56"/>
      <x:c r="V113" s="56"/>
      <x:c r="W113" s="56"/>
      <x:c r="X113" s="56"/>
      <x:c r="Y113" s="56"/>
      <x:c r="Z113" s="56"/>
      <x:c r="AA113" s="56"/>
      <x:c r="AB113" s="48"/>
      <x:c r="AC113" s="47"/>
      <x:c r="AD113" s="49"/>
      <x:c r="AE113" s="49"/>
      <x:c r="AF113" s="56"/>
      <x:c r="AG113" s="32" t="str">
        <x:f>IF($B113="","",IF(MAX($T113:$AA113)=0,"",TODAY()-MAX($T113:$AA113)))</x:f>
      </x:c>
      <x:c r="AH113" s="47"/>
      <x:c r="AI113" s="47"/>
    </x:row>
    <x:row r="114" ht="15" hidden="0" customHeight="1">
      <x:c r="A114" s="29" t="str">
        <x:f>IF($B114&lt;&gt;"","SS-"&amp;TEXT(ROW()-4,"000"),"")</x:f>
      </x:c>
      <x:c r="B114" s="47"/>
      <x:c r="C114" s="47"/>
      <x:c r="D114" s="47"/>
      <x:c r="E114" s="47"/>
      <x:c r="F114" s="47"/>
      <x:c r="G114" s="48"/>
      <x:c r="H114" s="47"/>
      <x:c r="I114" s="49"/>
      <x:c r="J114" s="49"/>
      <x:c r="K114" s="50"/>
      <x:c r="L114" s="50"/>
      <x:c r="M114" s="47"/>
      <x:c r="N114" s="47"/>
      <x:c r="O114" s="47"/>
      <x:c r="P114" s="47"/>
      <x:c r="Q114" s="29" t="str">
        <x:f>IF($B114="","",SUM($K114:$L114)+IF($M114="Yes",3,0)+IF($N114="Yes",3,0)+IF($O114="Yes",2,0)+IF($P114="Yes",2,0))</x:f>
      </x:c>
      <x:c r="R114" s="29" t="str">
        <x:f>IF($Q114="","",IF($Q114&gt;=15,"Qualified",IF($Q114&gt;=10,"Maybe","Low fit")))</x:f>
      </x:c>
      <x:c r="S114" s="47"/>
      <x:c r="T114" s="56"/>
      <x:c r="U114" s="56"/>
      <x:c r="V114" s="56"/>
      <x:c r="W114" s="56"/>
      <x:c r="X114" s="56"/>
      <x:c r="Y114" s="56"/>
      <x:c r="Z114" s="56"/>
      <x:c r="AA114" s="56"/>
      <x:c r="AB114" s="48"/>
      <x:c r="AC114" s="47"/>
      <x:c r="AD114" s="49"/>
      <x:c r="AE114" s="49"/>
      <x:c r="AF114" s="56"/>
      <x:c r="AG114" s="32" t="str">
        <x:f>IF($B114="","",IF(MAX($T114:$AA114)=0,"",TODAY()-MAX($T114:$AA114)))</x:f>
      </x:c>
      <x:c r="AH114" s="47"/>
      <x:c r="AI114" s="47"/>
    </x:row>
    <x:row r="115" ht="15" hidden="0" customHeight="1">
      <x:c r="A115" s="29" t="str">
        <x:f>IF($B115&lt;&gt;"","SS-"&amp;TEXT(ROW()-4,"000"),"")</x:f>
      </x:c>
      <x:c r="B115" s="47"/>
      <x:c r="C115" s="47"/>
      <x:c r="D115" s="47"/>
      <x:c r="E115" s="47"/>
      <x:c r="F115" s="47"/>
      <x:c r="G115" s="48"/>
      <x:c r="H115" s="47"/>
      <x:c r="I115" s="49"/>
      <x:c r="J115" s="49"/>
      <x:c r="K115" s="50"/>
      <x:c r="L115" s="50"/>
      <x:c r="M115" s="47"/>
      <x:c r="N115" s="47"/>
      <x:c r="O115" s="47"/>
      <x:c r="P115" s="47"/>
      <x:c r="Q115" s="29" t="str">
        <x:f>IF($B115="","",SUM($K115:$L115)+IF($M115="Yes",3,0)+IF($N115="Yes",3,0)+IF($O115="Yes",2,0)+IF($P115="Yes",2,0))</x:f>
      </x:c>
      <x:c r="R115" s="29" t="str">
        <x:f>IF($Q115="","",IF($Q115&gt;=15,"Qualified",IF($Q115&gt;=10,"Maybe","Low fit")))</x:f>
      </x:c>
      <x:c r="S115" s="47"/>
      <x:c r="T115" s="56"/>
      <x:c r="U115" s="56"/>
      <x:c r="V115" s="56"/>
      <x:c r="W115" s="56"/>
      <x:c r="X115" s="56"/>
      <x:c r="Y115" s="56"/>
      <x:c r="Z115" s="56"/>
      <x:c r="AA115" s="56"/>
      <x:c r="AB115" s="48"/>
      <x:c r="AC115" s="47"/>
      <x:c r="AD115" s="49"/>
      <x:c r="AE115" s="49"/>
      <x:c r="AF115" s="56"/>
      <x:c r="AG115" s="32" t="str">
        <x:f>IF($B115="","",IF(MAX($T115:$AA115)=0,"",TODAY()-MAX($T115:$AA115)))</x:f>
      </x:c>
      <x:c r="AH115" s="47"/>
      <x:c r="AI115" s="47"/>
    </x:row>
    <x:row r="116" ht="15" hidden="0" customHeight="1">
      <x:c r="A116" s="29" t="str">
        <x:f>IF($B116&lt;&gt;"","SS-"&amp;TEXT(ROW()-4,"000"),"")</x:f>
      </x:c>
      <x:c r="B116" s="47"/>
      <x:c r="C116" s="47"/>
      <x:c r="D116" s="47"/>
      <x:c r="E116" s="47"/>
      <x:c r="F116" s="47"/>
      <x:c r="G116" s="48"/>
      <x:c r="H116" s="47"/>
      <x:c r="I116" s="49"/>
      <x:c r="J116" s="49"/>
      <x:c r="K116" s="50"/>
      <x:c r="L116" s="50"/>
      <x:c r="M116" s="47"/>
      <x:c r="N116" s="47"/>
      <x:c r="O116" s="47"/>
      <x:c r="P116" s="47"/>
      <x:c r="Q116" s="29" t="str">
        <x:f>IF($B116="","",SUM($K116:$L116)+IF($M116="Yes",3,0)+IF($N116="Yes",3,0)+IF($O116="Yes",2,0)+IF($P116="Yes",2,0))</x:f>
      </x:c>
      <x:c r="R116" s="29" t="str">
        <x:f>IF($Q116="","",IF($Q116&gt;=15,"Qualified",IF($Q116&gt;=10,"Maybe","Low fit")))</x:f>
      </x:c>
      <x:c r="S116" s="47"/>
      <x:c r="T116" s="56"/>
      <x:c r="U116" s="56"/>
      <x:c r="V116" s="56"/>
      <x:c r="W116" s="56"/>
      <x:c r="X116" s="56"/>
      <x:c r="Y116" s="56"/>
      <x:c r="Z116" s="56"/>
      <x:c r="AA116" s="56"/>
      <x:c r="AB116" s="48"/>
      <x:c r="AC116" s="47"/>
      <x:c r="AD116" s="49"/>
      <x:c r="AE116" s="49"/>
      <x:c r="AF116" s="56"/>
      <x:c r="AG116" s="32" t="str">
        <x:f>IF($B116="","",IF(MAX($T116:$AA116)=0,"",TODAY()-MAX($T116:$AA116)))</x:f>
      </x:c>
      <x:c r="AH116" s="47"/>
      <x:c r="AI116" s="47"/>
    </x:row>
    <x:row r="117" ht="15" hidden="0" customHeight="1">
      <x:c r="A117" s="29" t="str">
        <x:f>IF($B117&lt;&gt;"","SS-"&amp;TEXT(ROW()-4,"000"),"")</x:f>
      </x:c>
      <x:c r="B117" s="47"/>
      <x:c r="C117" s="47"/>
      <x:c r="D117" s="47"/>
      <x:c r="E117" s="47"/>
      <x:c r="F117" s="47"/>
      <x:c r="G117" s="48"/>
      <x:c r="H117" s="47"/>
      <x:c r="I117" s="49"/>
      <x:c r="J117" s="49"/>
      <x:c r="K117" s="50"/>
      <x:c r="L117" s="50"/>
      <x:c r="M117" s="47"/>
      <x:c r="N117" s="47"/>
      <x:c r="O117" s="47"/>
      <x:c r="P117" s="47"/>
      <x:c r="Q117" s="29" t="str">
        <x:f>IF($B117="","",SUM($K117:$L117)+IF($M117="Yes",3,0)+IF($N117="Yes",3,0)+IF($O117="Yes",2,0)+IF($P117="Yes",2,0))</x:f>
      </x:c>
      <x:c r="R117" s="29" t="str">
        <x:f>IF($Q117="","",IF($Q117&gt;=15,"Qualified",IF($Q117&gt;=10,"Maybe","Low fit")))</x:f>
      </x:c>
      <x:c r="S117" s="47"/>
      <x:c r="T117" s="56"/>
      <x:c r="U117" s="56"/>
      <x:c r="V117" s="56"/>
      <x:c r="W117" s="56"/>
      <x:c r="X117" s="56"/>
      <x:c r="Y117" s="56"/>
      <x:c r="Z117" s="56"/>
      <x:c r="AA117" s="56"/>
      <x:c r="AB117" s="48"/>
      <x:c r="AC117" s="47"/>
      <x:c r="AD117" s="49"/>
      <x:c r="AE117" s="49"/>
      <x:c r="AF117" s="56"/>
      <x:c r="AG117" s="32" t="str">
        <x:f>IF($B117="","",IF(MAX($T117:$AA117)=0,"",TODAY()-MAX($T117:$AA117)))</x:f>
      </x:c>
      <x:c r="AH117" s="47"/>
      <x:c r="AI117" s="47"/>
    </x:row>
    <x:row r="118" ht="15" hidden="0" customHeight="1">
      <x:c r="A118" s="29" t="str">
        <x:f>IF($B118&lt;&gt;"","SS-"&amp;TEXT(ROW()-4,"000"),"")</x:f>
      </x:c>
      <x:c r="B118" s="47"/>
      <x:c r="C118" s="47"/>
      <x:c r="D118" s="47"/>
      <x:c r="E118" s="47"/>
      <x:c r="F118" s="47"/>
      <x:c r="G118" s="48"/>
      <x:c r="H118" s="47"/>
      <x:c r="I118" s="49"/>
      <x:c r="J118" s="49"/>
      <x:c r="K118" s="50"/>
      <x:c r="L118" s="50"/>
      <x:c r="M118" s="47"/>
      <x:c r="N118" s="47"/>
      <x:c r="O118" s="47"/>
      <x:c r="P118" s="47"/>
      <x:c r="Q118" s="29" t="str">
        <x:f>IF($B118="","",SUM($K118:$L118)+IF($M118="Yes",3,0)+IF($N118="Yes",3,0)+IF($O118="Yes",2,0)+IF($P118="Yes",2,0))</x:f>
      </x:c>
      <x:c r="R118" s="29" t="str">
        <x:f>IF($Q118="","",IF($Q118&gt;=15,"Qualified",IF($Q118&gt;=10,"Maybe","Low fit")))</x:f>
      </x:c>
      <x:c r="S118" s="47"/>
      <x:c r="T118" s="56"/>
      <x:c r="U118" s="56"/>
      <x:c r="V118" s="56"/>
      <x:c r="W118" s="56"/>
      <x:c r="X118" s="56"/>
      <x:c r="Y118" s="56"/>
      <x:c r="Z118" s="56"/>
      <x:c r="AA118" s="56"/>
      <x:c r="AB118" s="48"/>
      <x:c r="AC118" s="47"/>
      <x:c r="AD118" s="49"/>
      <x:c r="AE118" s="49"/>
      <x:c r="AF118" s="56"/>
      <x:c r="AG118" s="32" t="str">
        <x:f>IF($B118="","",IF(MAX($T118:$AA118)=0,"",TODAY()-MAX($T118:$AA118)))</x:f>
      </x:c>
      <x:c r="AH118" s="47"/>
      <x:c r="AI118" s="47"/>
    </x:row>
    <x:row r="119" ht="15" hidden="0" customHeight="1">
      <x:c r="A119" s="29" t="str">
        <x:f>IF($B119&lt;&gt;"","SS-"&amp;TEXT(ROW()-4,"000"),"")</x:f>
      </x:c>
      <x:c r="B119" s="47"/>
      <x:c r="C119" s="47"/>
      <x:c r="D119" s="47"/>
      <x:c r="E119" s="47"/>
      <x:c r="F119" s="47"/>
      <x:c r="G119" s="48"/>
      <x:c r="H119" s="47"/>
      <x:c r="I119" s="49"/>
      <x:c r="J119" s="49"/>
      <x:c r="K119" s="50"/>
      <x:c r="L119" s="50"/>
      <x:c r="M119" s="47"/>
      <x:c r="N119" s="47"/>
      <x:c r="O119" s="47"/>
      <x:c r="P119" s="47"/>
      <x:c r="Q119" s="29" t="str">
        <x:f>IF($B119="","",SUM($K119:$L119)+IF($M119="Yes",3,0)+IF($N119="Yes",3,0)+IF($O119="Yes",2,0)+IF($P119="Yes",2,0))</x:f>
      </x:c>
      <x:c r="R119" s="29" t="str">
        <x:f>IF($Q119="","",IF($Q119&gt;=15,"Qualified",IF($Q119&gt;=10,"Maybe","Low fit")))</x:f>
      </x:c>
      <x:c r="S119" s="47"/>
      <x:c r="T119" s="56"/>
      <x:c r="U119" s="56"/>
      <x:c r="V119" s="56"/>
      <x:c r="W119" s="56"/>
      <x:c r="X119" s="56"/>
      <x:c r="Y119" s="56"/>
      <x:c r="Z119" s="56"/>
      <x:c r="AA119" s="56"/>
      <x:c r="AB119" s="48"/>
      <x:c r="AC119" s="47"/>
      <x:c r="AD119" s="49"/>
      <x:c r="AE119" s="49"/>
      <x:c r="AF119" s="56"/>
      <x:c r="AG119" s="32" t="str">
        <x:f>IF($B119="","",IF(MAX($T119:$AA119)=0,"",TODAY()-MAX($T119:$AA119)))</x:f>
      </x:c>
      <x:c r="AH119" s="47"/>
      <x:c r="AI119" s="47"/>
    </x:row>
    <x:row r="120" ht="15" hidden="0" customHeight="1">
      <x:c r="A120" s="29" t="str">
        <x:f>IF($B120&lt;&gt;"","SS-"&amp;TEXT(ROW()-4,"000"),"")</x:f>
      </x:c>
      <x:c r="B120" s="47"/>
      <x:c r="C120" s="47"/>
      <x:c r="D120" s="47"/>
      <x:c r="E120" s="47"/>
      <x:c r="F120" s="47"/>
      <x:c r="G120" s="48"/>
      <x:c r="H120" s="47"/>
      <x:c r="I120" s="49"/>
      <x:c r="J120" s="49"/>
      <x:c r="K120" s="50"/>
      <x:c r="L120" s="50"/>
      <x:c r="M120" s="47"/>
      <x:c r="N120" s="47"/>
      <x:c r="O120" s="47"/>
      <x:c r="P120" s="47"/>
      <x:c r="Q120" s="29" t="str">
        <x:f>IF($B120="","",SUM($K120:$L120)+IF($M120="Yes",3,0)+IF($N120="Yes",3,0)+IF($O120="Yes",2,0)+IF($P120="Yes",2,0))</x:f>
      </x:c>
      <x:c r="R120" s="29" t="str">
        <x:f>IF($Q120="","",IF($Q120&gt;=15,"Qualified",IF($Q120&gt;=10,"Maybe","Low fit")))</x:f>
      </x:c>
      <x:c r="S120" s="47"/>
      <x:c r="T120" s="56"/>
      <x:c r="U120" s="56"/>
      <x:c r="V120" s="56"/>
      <x:c r="W120" s="56"/>
      <x:c r="X120" s="56"/>
      <x:c r="Y120" s="56"/>
      <x:c r="Z120" s="56"/>
      <x:c r="AA120" s="56"/>
      <x:c r="AB120" s="48"/>
      <x:c r="AC120" s="47"/>
      <x:c r="AD120" s="49"/>
      <x:c r="AE120" s="49"/>
      <x:c r="AF120" s="56"/>
      <x:c r="AG120" s="32" t="str">
        <x:f>IF($B120="","",IF(MAX($T120:$AA120)=0,"",TODAY()-MAX($T120:$AA120)))</x:f>
      </x:c>
      <x:c r="AH120" s="47"/>
      <x:c r="AI120" s="47"/>
    </x:row>
    <x:row r="121" ht="15" hidden="0" customHeight="1">
      <x:c r="A121" s="29" t="str">
        <x:f>IF($B121&lt;&gt;"","SS-"&amp;TEXT(ROW()-4,"000"),"")</x:f>
      </x:c>
      <x:c r="B121" s="47"/>
      <x:c r="C121" s="47"/>
      <x:c r="D121" s="47"/>
      <x:c r="E121" s="47"/>
      <x:c r="F121" s="47"/>
      <x:c r="G121" s="48"/>
      <x:c r="H121" s="47"/>
      <x:c r="I121" s="49"/>
      <x:c r="J121" s="49"/>
      <x:c r="K121" s="50"/>
      <x:c r="L121" s="50"/>
      <x:c r="M121" s="47"/>
      <x:c r="N121" s="47"/>
      <x:c r="O121" s="47"/>
      <x:c r="P121" s="47"/>
      <x:c r="Q121" s="29" t="str">
        <x:f>IF($B121="","",SUM($K121:$L121)+IF($M121="Yes",3,0)+IF($N121="Yes",3,0)+IF($O121="Yes",2,0)+IF($P121="Yes",2,0))</x:f>
      </x:c>
      <x:c r="R121" s="29" t="str">
        <x:f>IF($Q121="","",IF($Q121&gt;=15,"Qualified",IF($Q121&gt;=10,"Maybe","Low fit")))</x:f>
      </x:c>
      <x:c r="S121" s="47"/>
      <x:c r="T121" s="56"/>
      <x:c r="U121" s="56"/>
      <x:c r="V121" s="56"/>
      <x:c r="W121" s="56"/>
      <x:c r="X121" s="56"/>
      <x:c r="Y121" s="56"/>
      <x:c r="Z121" s="56"/>
      <x:c r="AA121" s="56"/>
      <x:c r="AB121" s="48"/>
      <x:c r="AC121" s="47"/>
      <x:c r="AD121" s="49"/>
      <x:c r="AE121" s="49"/>
      <x:c r="AF121" s="56"/>
      <x:c r="AG121" s="32" t="str">
        <x:f>IF($B121="","",IF(MAX($T121:$AA121)=0,"",TODAY()-MAX($T121:$AA121)))</x:f>
      </x:c>
      <x:c r="AH121" s="47"/>
      <x:c r="AI121" s="47"/>
    </x:row>
    <x:row r="122" ht="15" hidden="0" customHeight="1">
      <x:c r="A122" s="29" t="str">
        <x:f>IF($B122&lt;&gt;"","SS-"&amp;TEXT(ROW()-4,"000"),"")</x:f>
      </x:c>
      <x:c r="B122" s="47"/>
      <x:c r="C122" s="47"/>
      <x:c r="D122" s="47"/>
      <x:c r="E122" s="47"/>
      <x:c r="F122" s="47"/>
      <x:c r="G122" s="48"/>
      <x:c r="H122" s="47"/>
      <x:c r="I122" s="49"/>
      <x:c r="J122" s="49"/>
      <x:c r="K122" s="50"/>
      <x:c r="L122" s="50"/>
      <x:c r="M122" s="47"/>
      <x:c r="N122" s="47"/>
      <x:c r="O122" s="47"/>
      <x:c r="P122" s="47"/>
      <x:c r="Q122" s="29" t="str">
        <x:f>IF($B122="","",SUM($K122:$L122)+IF($M122="Yes",3,0)+IF($N122="Yes",3,0)+IF($O122="Yes",2,0)+IF($P122="Yes",2,0))</x:f>
      </x:c>
      <x:c r="R122" s="29" t="str">
        <x:f>IF($Q122="","",IF($Q122&gt;=15,"Qualified",IF($Q122&gt;=10,"Maybe","Low fit")))</x:f>
      </x:c>
      <x:c r="S122" s="47"/>
      <x:c r="T122" s="56"/>
      <x:c r="U122" s="56"/>
      <x:c r="V122" s="56"/>
      <x:c r="W122" s="56"/>
      <x:c r="X122" s="56"/>
      <x:c r="Y122" s="56"/>
      <x:c r="Z122" s="56"/>
      <x:c r="AA122" s="56"/>
      <x:c r="AB122" s="48"/>
      <x:c r="AC122" s="47"/>
      <x:c r="AD122" s="49"/>
      <x:c r="AE122" s="49"/>
      <x:c r="AF122" s="56"/>
      <x:c r="AG122" s="32" t="str">
        <x:f>IF($B122="","",IF(MAX($T122:$AA122)=0,"",TODAY()-MAX($T122:$AA122)))</x:f>
      </x:c>
      <x:c r="AH122" s="47"/>
      <x:c r="AI122" s="47"/>
    </x:row>
    <x:row r="123" ht="15" hidden="0" customHeight="1">
      <x:c r="A123" s="29" t="str">
        <x:f>IF($B123&lt;&gt;"","SS-"&amp;TEXT(ROW()-4,"000"),"")</x:f>
      </x:c>
      <x:c r="B123" s="47"/>
      <x:c r="C123" s="47"/>
      <x:c r="D123" s="47"/>
      <x:c r="E123" s="47"/>
      <x:c r="F123" s="47"/>
      <x:c r="G123" s="48"/>
      <x:c r="H123" s="47"/>
      <x:c r="I123" s="49"/>
      <x:c r="J123" s="49"/>
      <x:c r="K123" s="50"/>
      <x:c r="L123" s="50"/>
      <x:c r="M123" s="47"/>
      <x:c r="N123" s="47"/>
      <x:c r="O123" s="47"/>
      <x:c r="P123" s="47"/>
      <x:c r="Q123" s="29" t="str">
        <x:f>IF($B123="","",SUM($K123:$L123)+IF($M123="Yes",3,0)+IF($N123="Yes",3,0)+IF($O123="Yes",2,0)+IF($P123="Yes",2,0))</x:f>
      </x:c>
      <x:c r="R123" s="29" t="str">
        <x:f>IF($Q123="","",IF($Q123&gt;=15,"Qualified",IF($Q123&gt;=10,"Maybe","Low fit")))</x:f>
      </x:c>
      <x:c r="S123" s="47"/>
      <x:c r="T123" s="56"/>
      <x:c r="U123" s="56"/>
      <x:c r="V123" s="56"/>
      <x:c r="W123" s="56"/>
      <x:c r="X123" s="56"/>
      <x:c r="Y123" s="56"/>
      <x:c r="Z123" s="56"/>
      <x:c r="AA123" s="56"/>
      <x:c r="AB123" s="48"/>
      <x:c r="AC123" s="47"/>
      <x:c r="AD123" s="49"/>
      <x:c r="AE123" s="49"/>
      <x:c r="AF123" s="56"/>
      <x:c r="AG123" s="32" t="str">
        <x:f>IF($B123="","",IF(MAX($T123:$AA123)=0,"",TODAY()-MAX($T123:$AA123)))</x:f>
      </x:c>
      <x:c r="AH123" s="47"/>
      <x:c r="AI123" s="47"/>
    </x:row>
    <x:row r="124" ht="15" hidden="0" customHeight="1">
      <x:c r="A124" s="29" t="str">
        <x:f>IF($B124&lt;&gt;"","SS-"&amp;TEXT(ROW()-4,"000"),"")</x:f>
      </x:c>
      <x:c r="B124" s="47"/>
      <x:c r="C124" s="47"/>
      <x:c r="D124" s="47"/>
      <x:c r="E124" s="47"/>
      <x:c r="F124" s="47"/>
      <x:c r="G124" s="48"/>
      <x:c r="H124" s="47"/>
      <x:c r="I124" s="49"/>
      <x:c r="J124" s="49"/>
      <x:c r="K124" s="50"/>
      <x:c r="L124" s="50"/>
      <x:c r="M124" s="47"/>
      <x:c r="N124" s="47"/>
      <x:c r="O124" s="47"/>
      <x:c r="P124" s="47"/>
      <x:c r="Q124" s="29" t="str">
        <x:f>IF($B124="","",SUM($K124:$L124)+IF($M124="Yes",3,0)+IF($N124="Yes",3,0)+IF($O124="Yes",2,0)+IF($P124="Yes",2,0))</x:f>
      </x:c>
      <x:c r="R124" s="29" t="str">
        <x:f>IF($Q124="","",IF($Q124&gt;=15,"Qualified",IF($Q124&gt;=10,"Maybe","Low fit")))</x:f>
      </x:c>
      <x:c r="S124" s="47"/>
      <x:c r="T124" s="56"/>
      <x:c r="U124" s="56"/>
      <x:c r="V124" s="56"/>
      <x:c r="W124" s="56"/>
      <x:c r="X124" s="56"/>
      <x:c r="Y124" s="56"/>
      <x:c r="Z124" s="56"/>
      <x:c r="AA124" s="56"/>
      <x:c r="AB124" s="48"/>
      <x:c r="AC124" s="47"/>
      <x:c r="AD124" s="49"/>
      <x:c r="AE124" s="49"/>
      <x:c r="AF124" s="56"/>
      <x:c r="AG124" s="32" t="str">
        <x:f>IF($B124="","",IF(MAX($T124:$AA124)=0,"",TODAY()-MAX($T124:$AA124)))</x:f>
      </x:c>
      <x:c r="AH124" s="47"/>
      <x:c r="AI124" s="47"/>
    </x:row>
    <x:row r="125" ht="15" hidden="0" customHeight="1">
      <x:c r="A125" s="29" t="str">
        <x:f>IF($B125&lt;&gt;"","SS-"&amp;TEXT(ROW()-4,"000"),"")</x:f>
      </x:c>
      <x:c r="B125" s="47"/>
      <x:c r="C125" s="47"/>
      <x:c r="D125" s="47"/>
      <x:c r="E125" s="47"/>
      <x:c r="F125" s="47"/>
      <x:c r="G125" s="48"/>
      <x:c r="H125" s="47"/>
      <x:c r="I125" s="49"/>
      <x:c r="J125" s="49"/>
      <x:c r="K125" s="50"/>
      <x:c r="L125" s="50"/>
      <x:c r="M125" s="47"/>
      <x:c r="N125" s="47"/>
      <x:c r="O125" s="47"/>
      <x:c r="P125" s="47"/>
      <x:c r="Q125" s="29" t="str">
        <x:f>IF($B125="","",SUM($K125:$L125)+IF($M125="Yes",3,0)+IF($N125="Yes",3,0)+IF($O125="Yes",2,0)+IF($P125="Yes",2,0))</x:f>
      </x:c>
      <x:c r="R125" s="29" t="str">
        <x:f>IF($Q125="","",IF($Q125&gt;=15,"Qualified",IF($Q125&gt;=10,"Maybe","Low fit")))</x:f>
      </x:c>
      <x:c r="S125" s="47"/>
      <x:c r="T125" s="56"/>
      <x:c r="U125" s="56"/>
      <x:c r="V125" s="56"/>
      <x:c r="W125" s="56"/>
      <x:c r="X125" s="56"/>
      <x:c r="Y125" s="56"/>
      <x:c r="Z125" s="56"/>
      <x:c r="AA125" s="56"/>
      <x:c r="AB125" s="48"/>
      <x:c r="AC125" s="47"/>
      <x:c r="AD125" s="49"/>
      <x:c r="AE125" s="49"/>
      <x:c r="AF125" s="56"/>
      <x:c r="AG125" s="32" t="str">
        <x:f>IF($B125="","",IF(MAX($T125:$AA125)=0,"",TODAY()-MAX($T125:$AA125)))</x:f>
      </x:c>
      <x:c r="AH125" s="47"/>
      <x:c r="AI125" s="47"/>
    </x:row>
    <x:row r="126" ht="15" hidden="0" customHeight="1">
      <x:c r="A126" s="29" t="str">
        <x:f>IF($B126&lt;&gt;"","SS-"&amp;TEXT(ROW()-4,"000"),"")</x:f>
      </x:c>
      <x:c r="B126" s="47"/>
      <x:c r="C126" s="47"/>
      <x:c r="D126" s="47"/>
      <x:c r="E126" s="47"/>
      <x:c r="F126" s="47"/>
      <x:c r="G126" s="48"/>
      <x:c r="H126" s="47"/>
      <x:c r="I126" s="49"/>
      <x:c r="J126" s="49"/>
      <x:c r="K126" s="50"/>
      <x:c r="L126" s="50"/>
      <x:c r="M126" s="47"/>
      <x:c r="N126" s="47"/>
      <x:c r="O126" s="47"/>
      <x:c r="P126" s="47"/>
      <x:c r="Q126" s="29" t="str">
        <x:f>IF($B126="","",SUM($K126:$L126)+IF($M126="Yes",3,0)+IF($N126="Yes",3,0)+IF($O126="Yes",2,0)+IF($P126="Yes",2,0))</x:f>
      </x:c>
      <x:c r="R126" s="29" t="str">
        <x:f>IF($Q126="","",IF($Q126&gt;=15,"Qualified",IF($Q126&gt;=10,"Maybe","Low fit")))</x:f>
      </x:c>
      <x:c r="S126" s="47"/>
      <x:c r="T126" s="56"/>
      <x:c r="U126" s="56"/>
      <x:c r="V126" s="56"/>
      <x:c r="W126" s="56"/>
      <x:c r="X126" s="56"/>
      <x:c r="Y126" s="56"/>
      <x:c r="Z126" s="56"/>
      <x:c r="AA126" s="56"/>
      <x:c r="AB126" s="48"/>
      <x:c r="AC126" s="47"/>
      <x:c r="AD126" s="49"/>
      <x:c r="AE126" s="49"/>
      <x:c r="AF126" s="56"/>
      <x:c r="AG126" s="32" t="str">
        <x:f>IF($B126="","",IF(MAX($T126:$AA126)=0,"",TODAY()-MAX($T126:$AA126)))</x:f>
      </x:c>
      <x:c r="AH126" s="47"/>
      <x:c r="AI126" s="47"/>
    </x:row>
    <x:row r="127" ht="15" hidden="0" customHeight="1">
      <x:c r="A127" s="29" t="str">
        <x:f>IF($B127&lt;&gt;"","SS-"&amp;TEXT(ROW()-4,"000"),"")</x:f>
      </x:c>
      <x:c r="B127" s="47"/>
      <x:c r="C127" s="47"/>
      <x:c r="D127" s="47"/>
      <x:c r="E127" s="47"/>
      <x:c r="F127" s="47"/>
      <x:c r="G127" s="48"/>
      <x:c r="H127" s="47"/>
      <x:c r="I127" s="49"/>
      <x:c r="J127" s="49"/>
      <x:c r="K127" s="50"/>
      <x:c r="L127" s="50"/>
      <x:c r="M127" s="47"/>
      <x:c r="N127" s="47"/>
      <x:c r="O127" s="47"/>
      <x:c r="P127" s="47"/>
      <x:c r="Q127" s="29" t="str">
        <x:f>IF($B127="","",SUM($K127:$L127)+IF($M127="Yes",3,0)+IF($N127="Yes",3,0)+IF($O127="Yes",2,0)+IF($P127="Yes",2,0))</x:f>
      </x:c>
      <x:c r="R127" s="29" t="str">
        <x:f>IF($Q127="","",IF($Q127&gt;=15,"Qualified",IF($Q127&gt;=10,"Maybe","Low fit")))</x:f>
      </x:c>
      <x:c r="S127" s="47"/>
      <x:c r="T127" s="56"/>
      <x:c r="U127" s="56"/>
      <x:c r="V127" s="56"/>
      <x:c r="W127" s="56"/>
      <x:c r="X127" s="56"/>
      <x:c r="Y127" s="56"/>
      <x:c r="Z127" s="56"/>
      <x:c r="AA127" s="56"/>
      <x:c r="AB127" s="48"/>
      <x:c r="AC127" s="47"/>
      <x:c r="AD127" s="49"/>
      <x:c r="AE127" s="49"/>
      <x:c r="AF127" s="56"/>
      <x:c r="AG127" s="32" t="str">
        <x:f>IF($B127="","",IF(MAX($T127:$AA127)=0,"",TODAY()-MAX($T127:$AA127)))</x:f>
      </x:c>
      <x:c r="AH127" s="47"/>
      <x:c r="AI127" s="47"/>
    </x:row>
    <x:row r="128" ht="15" hidden="0" customHeight="1">
      <x:c r="A128" s="29" t="str">
        <x:f>IF($B128&lt;&gt;"","SS-"&amp;TEXT(ROW()-4,"000"),"")</x:f>
      </x:c>
      <x:c r="B128" s="47"/>
      <x:c r="C128" s="47"/>
      <x:c r="D128" s="47"/>
      <x:c r="E128" s="47"/>
      <x:c r="F128" s="47"/>
      <x:c r="G128" s="48"/>
      <x:c r="H128" s="47"/>
      <x:c r="I128" s="49"/>
      <x:c r="J128" s="49"/>
      <x:c r="K128" s="50"/>
      <x:c r="L128" s="50"/>
      <x:c r="M128" s="47"/>
      <x:c r="N128" s="47"/>
      <x:c r="O128" s="47"/>
      <x:c r="P128" s="47"/>
      <x:c r="Q128" s="29" t="str">
        <x:f>IF($B128="","",SUM($K128:$L128)+IF($M128="Yes",3,0)+IF($N128="Yes",3,0)+IF($O128="Yes",2,0)+IF($P128="Yes",2,0))</x:f>
      </x:c>
      <x:c r="R128" s="29" t="str">
        <x:f>IF($Q128="","",IF($Q128&gt;=15,"Qualified",IF($Q128&gt;=10,"Maybe","Low fit")))</x:f>
      </x:c>
      <x:c r="S128" s="47"/>
      <x:c r="T128" s="56"/>
      <x:c r="U128" s="56"/>
      <x:c r="V128" s="56"/>
      <x:c r="W128" s="56"/>
      <x:c r="X128" s="56"/>
      <x:c r="Y128" s="56"/>
      <x:c r="Z128" s="56"/>
      <x:c r="AA128" s="56"/>
      <x:c r="AB128" s="48"/>
      <x:c r="AC128" s="47"/>
      <x:c r="AD128" s="49"/>
      <x:c r="AE128" s="49"/>
      <x:c r="AF128" s="56"/>
      <x:c r="AG128" s="32" t="str">
        <x:f>IF($B128="","",IF(MAX($T128:$AA128)=0,"",TODAY()-MAX($T128:$AA128)))</x:f>
      </x:c>
      <x:c r="AH128" s="47"/>
      <x:c r="AI128" s="47"/>
    </x:row>
    <x:row r="129" ht="15" hidden="0" customHeight="1">
      <x:c r="A129" s="29" t="str">
        <x:f>IF($B129&lt;&gt;"","SS-"&amp;TEXT(ROW()-4,"000"),"")</x:f>
      </x:c>
      <x:c r="B129" s="47"/>
      <x:c r="C129" s="47"/>
      <x:c r="D129" s="47"/>
      <x:c r="E129" s="47"/>
      <x:c r="F129" s="47"/>
      <x:c r="G129" s="48"/>
      <x:c r="H129" s="47"/>
      <x:c r="I129" s="49"/>
      <x:c r="J129" s="49"/>
      <x:c r="K129" s="50"/>
      <x:c r="L129" s="50"/>
      <x:c r="M129" s="47"/>
      <x:c r="N129" s="47"/>
      <x:c r="O129" s="47"/>
      <x:c r="P129" s="47"/>
      <x:c r="Q129" s="29" t="str">
        <x:f>IF($B129="","",SUM($K129:$L129)+IF($M129="Yes",3,0)+IF($N129="Yes",3,0)+IF($O129="Yes",2,0)+IF($P129="Yes",2,0))</x:f>
      </x:c>
      <x:c r="R129" s="29" t="str">
        <x:f>IF($Q129="","",IF($Q129&gt;=15,"Qualified",IF($Q129&gt;=10,"Maybe","Low fit")))</x:f>
      </x:c>
      <x:c r="S129" s="47"/>
      <x:c r="T129" s="56"/>
      <x:c r="U129" s="56"/>
      <x:c r="V129" s="56"/>
      <x:c r="W129" s="56"/>
      <x:c r="X129" s="56"/>
      <x:c r="Y129" s="56"/>
      <x:c r="Z129" s="56"/>
      <x:c r="AA129" s="56"/>
      <x:c r="AB129" s="48"/>
      <x:c r="AC129" s="47"/>
      <x:c r="AD129" s="49"/>
      <x:c r="AE129" s="49"/>
      <x:c r="AF129" s="56"/>
      <x:c r="AG129" s="32" t="str">
        <x:f>IF($B129="","",IF(MAX($T129:$AA129)=0,"",TODAY()-MAX($T129:$AA129)))</x:f>
      </x:c>
      <x:c r="AH129" s="47"/>
      <x:c r="AI129" s="47"/>
    </x:row>
    <x:row r="130" ht="15" hidden="0" customHeight="1">
      <x:c r="A130" s="29" t="str">
        <x:f>IF($B130&lt;&gt;"","SS-"&amp;TEXT(ROW()-4,"000"),"")</x:f>
      </x:c>
      <x:c r="B130" s="47"/>
      <x:c r="C130" s="47"/>
      <x:c r="D130" s="47"/>
      <x:c r="E130" s="47"/>
      <x:c r="F130" s="47"/>
      <x:c r="G130" s="48"/>
      <x:c r="H130" s="47"/>
      <x:c r="I130" s="49"/>
      <x:c r="J130" s="49"/>
      <x:c r="K130" s="50"/>
      <x:c r="L130" s="50"/>
      <x:c r="M130" s="47"/>
      <x:c r="N130" s="47"/>
      <x:c r="O130" s="47"/>
      <x:c r="P130" s="47"/>
      <x:c r="Q130" s="29" t="str">
        <x:f>IF($B130="","",SUM($K130:$L130)+IF($M130="Yes",3,0)+IF($N130="Yes",3,0)+IF($O130="Yes",2,0)+IF($P130="Yes",2,0))</x:f>
      </x:c>
      <x:c r="R130" s="29" t="str">
        <x:f>IF($Q130="","",IF($Q130&gt;=15,"Qualified",IF($Q130&gt;=10,"Maybe","Low fit")))</x:f>
      </x:c>
      <x:c r="S130" s="47"/>
      <x:c r="T130" s="56"/>
      <x:c r="U130" s="56"/>
      <x:c r="V130" s="56"/>
      <x:c r="W130" s="56"/>
      <x:c r="X130" s="56"/>
      <x:c r="Y130" s="56"/>
      <x:c r="Z130" s="56"/>
      <x:c r="AA130" s="56"/>
      <x:c r="AB130" s="48"/>
      <x:c r="AC130" s="47"/>
      <x:c r="AD130" s="49"/>
      <x:c r="AE130" s="49"/>
      <x:c r="AF130" s="56"/>
      <x:c r="AG130" s="32" t="str">
        <x:f>IF($B130="","",IF(MAX($T130:$AA130)=0,"",TODAY()-MAX($T130:$AA130)))</x:f>
      </x:c>
      <x:c r="AH130" s="47"/>
      <x:c r="AI130" s="47"/>
    </x:row>
    <x:row r="131" ht="15" hidden="0" customHeight="1">
      <x:c r="A131" s="29" t="str">
        <x:f>IF($B131&lt;&gt;"","SS-"&amp;TEXT(ROW()-4,"000"),"")</x:f>
      </x:c>
      <x:c r="B131" s="47"/>
      <x:c r="C131" s="47"/>
      <x:c r="D131" s="47"/>
      <x:c r="E131" s="47"/>
      <x:c r="F131" s="47"/>
      <x:c r="G131" s="48"/>
      <x:c r="H131" s="47"/>
      <x:c r="I131" s="49"/>
      <x:c r="J131" s="49"/>
      <x:c r="K131" s="50"/>
      <x:c r="L131" s="50"/>
      <x:c r="M131" s="47"/>
      <x:c r="N131" s="47"/>
      <x:c r="O131" s="47"/>
      <x:c r="P131" s="47"/>
      <x:c r="Q131" s="29" t="str">
        <x:f>IF($B131="","",SUM($K131:$L131)+IF($M131="Yes",3,0)+IF($N131="Yes",3,0)+IF($O131="Yes",2,0)+IF($P131="Yes",2,0))</x:f>
      </x:c>
      <x:c r="R131" s="29" t="str">
        <x:f>IF($Q131="","",IF($Q131&gt;=15,"Qualified",IF($Q131&gt;=10,"Maybe","Low fit")))</x:f>
      </x:c>
      <x:c r="S131" s="47"/>
      <x:c r="T131" s="56"/>
      <x:c r="U131" s="56"/>
      <x:c r="V131" s="56"/>
      <x:c r="W131" s="56"/>
      <x:c r="X131" s="56"/>
      <x:c r="Y131" s="56"/>
      <x:c r="Z131" s="56"/>
      <x:c r="AA131" s="56"/>
      <x:c r="AB131" s="48"/>
      <x:c r="AC131" s="47"/>
      <x:c r="AD131" s="49"/>
      <x:c r="AE131" s="49"/>
      <x:c r="AF131" s="56"/>
      <x:c r="AG131" s="32" t="str">
        <x:f>IF($B131="","",IF(MAX($T131:$AA131)=0,"",TODAY()-MAX($T131:$AA131)))</x:f>
      </x:c>
      <x:c r="AH131" s="47"/>
      <x:c r="AI131" s="47"/>
    </x:row>
    <x:row r="132" ht="15" hidden="0" customHeight="1">
      <x:c r="A132" s="29" t="str">
        <x:f>IF($B132&lt;&gt;"","SS-"&amp;TEXT(ROW()-4,"000"),"")</x:f>
      </x:c>
      <x:c r="B132" s="47"/>
      <x:c r="C132" s="47"/>
      <x:c r="D132" s="47"/>
      <x:c r="E132" s="47"/>
      <x:c r="F132" s="47"/>
      <x:c r="G132" s="48"/>
      <x:c r="H132" s="47"/>
      <x:c r="I132" s="49"/>
      <x:c r="J132" s="49"/>
      <x:c r="K132" s="50"/>
      <x:c r="L132" s="50"/>
      <x:c r="M132" s="47"/>
      <x:c r="N132" s="47"/>
      <x:c r="O132" s="47"/>
      <x:c r="P132" s="47"/>
      <x:c r="Q132" s="29" t="str">
        <x:f>IF($B132="","",SUM($K132:$L132)+IF($M132="Yes",3,0)+IF($N132="Yes",3,0)+IF($O132="Yes",2,0)+IF($P132="Yes",2,0))</x:f>
      </x:c>
      <x:c r="R132" s="29" t="str">
        <x:f>IF($Q132="","",IF($Q132&gt;=15,"Qualified",IF($Q132&gt;=10,"Maybe","Low fit")))</x:f>
      </x:c>
      <x:c r="S132" s="47"/>
      <x:c r="T132" s="56"/>
      <x:c r="U132" s="56"/>
      <x:c r="V132" s="56"/>
      <x:c r="W132" s="56"/>
      <x:c r="X132" s="56"/>
      <x:c r="Y132" s="56"/>
      <x:c r="Z132" s="56"/>
      <x:c r="AA132" s="56"/>
      <x:c r="AB132" s="48"/>
      <x:c r="AC132" s="47"/>
      <x:c r="AD132" s="49"/>
      <x:c r="AE132" s="49"/>
      <x:c r="AF132" s="56"/>
      <x:c r="AG132" s="32" t="str">
        <x:f>IF($B132="","",IF(MAX($T132:$AA132)=0,"",TODAY()-MAX($T132:$AA132)))</x:f>
      </x:c>
      <x:c r="AH132" s="47"/>
      <x:c r="AI132" s="47"/>
    </x:row>
    <x:row r="133" ht="15" hidden="0" customHeight="1">
      <x:c r="A133" s="29" t="str">
        <x:f>IF($B133&lt;&gt;"","SS-"&amp;TEXT(ROW()-4,"000"),"")</x:f>
      </x:c>
      <x:c r="B133" s="47"/>
      <x:c r="C133" s="47"/>
      <x:c r="D133" s="47"/>
      <x:c r="E133" s="47"/>
      <x:c r="F133" s="47"/>
      <x:c r="G133" s="48"/>
      <x:c r="H133" s="47"/>
      <x:c r="I133" s="49"/>
      <x:c r="J133" s="49"/>
      <x:c r="K133" s="50"/>
      <x:c r="L133" s="50"/>
      <x:c r="M133" s="47"/>
      <x:c r="N133" s="47"/>
      <x:c r="O133" s="47"/>
      <x:c r="P133" s="47"/>
      <x:c r="Q133" s="29" t="str">
        <x:f>IF($B133="","",SUM($K133:$L133)+IF($M133="Yes",3,0)+IF($N133="Yes",3,0)+IF($O133="Yes",2,0)+IF($P133="Yes",2,0))</x:f>
      </x:c>
      <x:c r="R133" s="29" t="str">
        <x:f>IF($Q133="","",IF($Q133&gt;=15,"Qualified",IF($Q133&gt;=10,"Maybe","Low fit")))</x:f>
      </x:c>
      <x:c r="S133" s="47"/>
      <x:c r="T133" s="56"/>
      <x:c r="U133" s="56"/>
      <x:c r="V133" s="56"/>
      <x:c r="W133" s="56"/>
      <x:c r="X133" s="56"/>
      <x:c r="Y133" s="56"/>
      <x:c r="Z133" s="56"/>
      <x:c r="AA133" s="56"/>
      <x:c r="AB133" s="48"/>
      <x:c r="AC133" s="47"/>
      <x:c r="AD133" s="49"/>
      <x:c r="AE133" s="49"/>
      <x:c r="AF133" s="56"/>
      <x:c r="AG133" s="32" t="str">
        <x:f>IF($B133="","",IF(MAX($T133:$AA133)=0,"",TODAY()-MAX($T133:$AA133)))</x:f>
      </x:c>
      <x:c r="AH133" s="47"/>
      <x:c r="AI133" s="47"/>
    </x:row>
    <x:row r="134" ht="15" hidden="0" customHeight="1">
      <x:c r="A134" s="29" t="str">
        <x:f>IF($B134&lt;&gt;"","SS-"&amp;TEXT(ROW()-4,"000"),"")</x:f>
      </x:c>
      <x:c r="B134" s="47"/>
      <x:c r="C134" s="47"/>
      <x:c r="D134" s="47"/>
      <x:c r="E134" s="47"/>
      <x:c r="F134" s="47"/>
      <x:c r="G134" s="48"/>
      <x:c r="H134" s="47"/>
      <x:c r="I134" s="49"/>
      <x:c r="J134" s="49"/>
      <x:c r="K134" s="50"/>
      <x:c r="L134" s="50"/>
      <x:c r="M134" s="47"/>
      <x:c r="N134" s="47"/>
      <x:c r="O134" s="47"/>
      <x:c r="P134" s="47"/>
      <x:c r="Q134" s="29" t="str">
        <x:f>IF($B134="","",SUM($K134:$L134)+IF($M134="Yes",3,0)+IF($N134="Yes",3,0)+IF($O134="Yes",2,0)+IF($P134="Yes",2,0))</x:f>
      </x:c>
      <x:c r="R134" s="29" t="str">
        <x:f>IF($Q134="","",IF($Q134&gt;=15,"Qualified",IF($Q134&gt;=10,"Maybe","Low fit")))</x:f>
      </x:c>
      <x:c r="S134" s="47"/>
      <x:c r="T134" s="56"/>
      <x:c r="U134" s="56"/>
      <x:c r="V134" s="56"/>
      <x:c r="W134" s="56"/>
      <x:c r="X134" s="56"/>
      <x:c r="Y134" s="56"/>
      <x:c r="Z134" s="56"/>
      <x:c r="AA134" s="56"/>
      <x:c r="AB134" s="48"/>
      <x:c r="AC134" s="47"/>
      <x:c r="AD134" s="49"/>
      <x:c r="AE134" s="49"/>
      <x:c r="AF134" s="56"/>
      <x:c r="AG134" s="32" t="str">
        <x:f>IF($B134="","",IF(MAX($T134:$AA134)=0,"",TODAY()-MAX($T134:$AA134)))</x:f>
      </x:c>
      <x:c r="AH134" s="47"/>
      <x:c r="AI134" s="47"/>
    </x:row>
    <x:row r="135" ht="15" hidden="0" customHeight="1">
      <x:c r="A135" s="29" t="str">
        <x:f>IF($B135&lt;&gt;"","SS-"&amp;TEXT(ROW()-4,"000"),"")</x:f>
      </x:c>
      <x:c r="B135" s="47"/>
      <x:c r="C135" s="47"/>
      <x:c r="D135" s="47"/>
      <x:c r="E135" s="47"/>
      <x:c r="F135" s="47"/>
      <x:c r="G135" s="48"/>
      <x:c r="H135" s="47"/>
      <x:c r="I135" s="49"/>
      <x:c r="J135" s="49"/>
      <x:c r="K135" s="50"/>
      <x:c r="L135" s="50"/>
      <x:c r="M135" s="47"/>
      <x:c r="N135" s="47"/>
      <x:c r="O135" s="47"/>
      <x:c r="P135" s="47"/>
      <x:c r="Q135" s="29" t="str">
        <x:f>IF($B135="","",SUM($K135:$L135)+IF($M135="Yes",3,0)+IF($N135="Yes",3,0)+IF($O135="Yes",2,0)+IF($P135="Yes",2,0))</x:f>
      </x:c>
      <x:c r="R135" s="29" t="str">
        <x:f>IF($Q135="","",IF($Q135&gt;=15,"Qualified",IF($Q135&gt;=10,"Maybe","Low fit")))</x:f>
      </x:c>
      <x:c r="S135" s="47"/>
      <x:c r="T135" s="56"/>
      <x:c r="U135" s="56"/>
      <x:c r="V135" s="56"/>
      <x:c r="W135" s="56"/>
      <x:c r="X135" s="56"/>
      <x:c r="Y135" s="56"/>
      <x:c r="Z135" s="56"/>
      <x:c r="AA135" s="56"/>
      <x:c r="AB135" s="48"/>
      <x:c r="AC135" s="47"/>
      <x:c r="AD135" s="49"/>
      <x:c r="AE135" s="49"/>
      <x:c r="AF135" s="56"/>
      <x:c r="AG135" s="32" t="str">
        <x:f>IF($B135="","",IF(MAX($T135:$AA135)=0,"",TODAY()-MAX($T135:$AA135)))</x:f>
      </x:c>
      <x:c r="AH135" s="47"/>
      <x:c r="AI135" s="47"/>
    </x:row>
    <x:row r="136" ht="15" hidden="0" customHeight="1">
      <x:c r="A136" s="29" t="str">
        <x:f>IF($B136&lt;&gt;"","SS-"&amp;TEXT(ROW()-4,"000"),"")</x:f>
      </x:c>
      <x:c r="B136" s="47"/>
      <x:c r="C136" s="47"/>
      <x:c r="D136" s="47"/>
      <x:c r="E136" s="47"/>
      <x:c r="F136" s="47"/>
      <x:c r="G136" s="48"/>
      <x:c r="H136" s="47"/>
      <x:c r="I136" s="49"/>
      <x:c r="J136" s="49"/>
      <x:c r="K136" s="50"/>
      <x:c r="L136" s="50"/>
      <x:c r="M136" s="47"/>
      <x:c r="N136" s="47"/>
      <x:c r="O136" s="47"/>
      <x:c r="P136" s="47"/>
      <x:c r="Q136" s="29" t="str">
        <x:f>IF($B136="","",SUM($K136:$L136)+IF($M136="Yes",3,0)+IF($N136="Yes",3,0)+IF($O136="Yes",2,0)+IF($P136="Yes",2,0))</x:f>
      </x:c>
      <x:c r="R136" s="29" t="str">
        <x:f>IF($Q136="","",IF($Q136&gt;=15,"Qualified",IF($Q136&gt;=10,"Maybe","Low fit")))</x:f>
      </x:c>
      <x:c r="S136" s="47"/>
      <x:c r="T136" s="56"/>
      <x:c r="U136" s="56"/>
      <x:c r="V136" s="56"/>
      <x:c r="W136" s="56"/>
      <x:c r="X136" s="56"/>
      <x:c r="Y136" s="56"/>
      <x:c r="Z136" s="56"/>
      <x:c r="AA136" s="56"/>
      <x:c r="AB136" s="48"/>
      <x:c r="AC136" s="47"/>
      <x:c r="AD136" s="49"/>
      <x:c r="AE136" s="49"/>
      <x:c r="AF136" s="56"/>
      <x:c r="AG136" s="32" t="str">
        <x:f>IF($B136="","",IF(MAX($T136:$AA136)=0,"",TODAY()-MAX($T136:$AA136)))</x:f>
      </x:c>
      <x:c r="AH136" s="47"/>
      <x:c r="AI136" s="47"/>
    </x:row>
    <x:row r="137" ht="15" hidden="0" customHeight="1">
      <x:c r="A137" s="29" t="str">
        <x:f>IF($B137&lt;&gt;"","SS-"&amp;TEXT(ROW()-4,"000"),"")</x:f>
      </x:c>
      <x:c r="B137" s="47"/>
      <x:c r="C137" s="47"/>
      <x:c r="D137" s="47"/>
      <x:c r="E137" s="47"/>
      <x:c r="F137" s="47"/>
      <x:c r="G137" s="48"/>
      <x:c r="H137" s="47"/>
      <x:c r="I137" s="49"/>
      <x:c r="J137" s="49"/>
      <x:c r="K137" s="50"/>
      <x:c r="L137" s="50"/>
      <x:c r="M137" s="47"/>
      <x:c r="N137" s="47"/>
      <x:c r="O137" s="47"/>
      <x:c r="P137" s="47"/>
      <x:c r="Q137" s="29" t="str">
        <x:f>IF($B137="","",SUM($K137:$L137)+IF($M137="Yes",3,0)+IF($N137="Yes",3,0)+IF($O137="Yes",2,0)+IF($P137="Yes",2,0))</x:f>
      </x:c>
      <x:c r="R137" s="29" t="str">
        <x:f>IF($Q137="","",IF($Q137&gt;=15,"Qualified",IF($Q137&gt;=10,"Maybe","Low fit")))</x:f>
      </x:c>
      <x:c r="S137" s="47"/>
      <x:c r="T137" s="56"/>
      <x:c r="U137" s="56"/>
      <x:c r="V137" s="56"/>
      <x:c r="W137" s="56"/>
      <x:c r="X137" s="56"/>
      <x:c r="Y137" s="56"/>
      <x:c r="Z137" s="56"/>
      <x:c r="AA137" s="56"/>
      <x:c r="AB137" s="48"/>
      <x:c r="AC137" s="47"/>
      <x:c r="AD137" s="49"/>
      <x:c r="AE137" s="49"/>
      <x:c r="AF137" s="56"/>
      <x:c r="AG137" s="32" t="str">
        <x:f>IF($B137="","",IF(MAX($T137:$AA137)=0,"",TODAY()-MAX($T137:$AA137)))</x:f>
      </x:c>
      <x:c r="AH137" s="47"/>
      <x:c r="AI137" s="47"/>
    </x:row>
    <x:row r="138" ht="15" hidden="0" customHeight="1">
      <x:c r="A138" s="29" t="str">
        <x:f>IF($B138&lt;&gt;"","SS-"&amp;TEXT(ROW()-4,"000"),"")</x:f>
      </x:c>
      <x:c r="B138" s="47"/>
      <x:c r="C138" s="47"/>
      <x:c r="D138" s="47"/>
      <x:c r="E138" s="47"/>
      <x:c r="F138" s="47"/>
      <x:c r="G138" s="48"/>
      <x:c r="H138" s="47"/>
      <x:c r="I138" s="49"/>
      <x:c r="J138" s="49"/>
      <x:c r="K138" s="50"/>
      <x:c r="L138" s="50"/>
      <x:c r="M138" s="47"/>
      <x:c r="N138" s="47"/>
      <x:c r="O138" s="47"/>
      <x:c r="P138" s="47"/>
      <x:c r="Q138" s="29" t="str">
        <x:f>IF($B138="","",SUM($K138:$L138)+IF($M138="Yes",3,0)+IF($N138="Yes",3,0)+IF($O138="Yes",2,0)+IF($P138="Yes",2,0))</x:f>
      </x:c>
      <x:c r="R138" s="29" t="str">
        <x:f>IF($Q138="","",IF($Q138&gt;=15,"Qualified",IF($Q138&gt;=10,"Maybe","Low fit")))</x:f>
      </x:c>
      <x:c r="S138" s="47"/>
      <x:c r="T138" s="56"/>
      <x:c r="U138" s="56"/>
      <x:c r="V138" s="56"/>
      <x:c r="W138" s="56"/>
      <x:c r="X138" s="56"/>
      <x:c r="Y138" s="56"/>
      <x:c r="Z138" s="56"/>
      <x:c r="AA138" s="56"/>
      <x:c r="AB138" s="48"/>
      <x:c r="AC138" s="47"/>
      <x:c r="AD138" s="49"/>
      <x:c r="AE138" s="49"/>
      <x:c r="AF138" s="56"/>
      <x:c r="AG138" s="32" t="str">
        <x:f>IF($B138="","",IF(MAX($T138:$AA138)=0,"",TODAY()-MAX($T138:$AA138)))</x:f>
      </x:c>
      <x:c r="AH138" s="47"/>
      <x:c r="AI138" s="47"/>
    </x:row>
    <x:row r="139" ht="15" hidden="0" customHeight="1">
      <x:c r="A139" s="29" t="str">
        <x:f>IF($B139&lt;&gt;"","SS-"&amp;TEXT(ROW()-4,"000"),"")</x:f>
      </x:c>
      <x:c r="B139" s="47"/>
      <x:c r="C139" s="47"/>
      <x:c r="D139" s="47"/>
      <x:c r="E139" s="47"/>
      <x:c r="F139" s="47"/>
      <x:c r="G139" s="48"/>
      <x:c r="H139" s="47"/>
      <x:c r="I139" s="49"/>
      <x:c r="J139" s="49"/>
      <x:c r="K139" s="50"/>
      <x:c r="L139" s="50"/>
      <x:c r="M139" s="47"/>
      <x:c r="N139" s="47"/>
      <x:c r="O139" s="47"/>
      <x:c r="P139" s="47"/>
      <x:c r="Q139" s="29" t="str">
        <x:f>IF($B139="","",SUM($K139:$L139)+IF($M139="Yes",3,0)+IF($N139="Yes",3,0)+IF($O139="Yes",2,0)+IF($P139="Yes",2,0))</x:f>
      </x:c>
      <x:c r="R139" s="29" t="str">
        <x:f>IF($Q139="","",IF($Q139&gt;=15,"Qualified",IF($Q139&gt;=10,"Maybe","Low fit")))</x:f>
      </x:c>
      <x:c r="S139" s="47"/>
      <x:c r="T139" s="56"/>
      <x:c r="U139" s="56"/>
      <x:c r="V139" s="56"/>
      <x:c r="W139" s="56"/>
      <x:c r="X139" s="56"/>
      <x:c r="Y139" s="56"/>
      <x:c r="Z139" s="56"/>
      <x:c r="AA139" s="56"/>
      <x:c r="AB139" s="48"/>
      <x:c r="AC139" s="47"/>
      <x:c r="AD139" s="49"/>
      <x:c r="AE139" s="49"/>
      <x:c r="AF139" s="56"/>
      <x:c r="AG139" s="32" t="str">
        <x:f>IF($B139="","",IF(MAX($T139:$AA139)=0,"",TODAY()-MAX($T139:$AA139)))</x:f>
      </x:c>
      <x:c r="AH139" s="47"/>
      <x:c r="AI139" s="47"/>
    </x:row>
    <x:row r="140" ht="15" hidden="0" customHeight="1">
      <x:c r="A140" s="29" t="str">
        <x:f>IF($B140&lt;&gt;"","SS-"&amp;TEXT(ROW()-4,"000"),"")</x:f>
      </x:c>
      <x:c r="B140" s="47"/>
      <x:c r="C140" s="47"/>
      <x:c r="D140" s="47"/>
      <x:c r="E140" s="47"/>
      <x:c r="F140" s="47"/>
      <x:c r="G140" s="48"/>
      <x:c r="H140" s="47"/>
      <x:c r="I140" s="49"/>
      <x:c r="J140" s="49"/>
      <x:c r="K140" s="50"/>
      <x:c r="L140" s="50"/>
      <x:c r="M140" s="47"/>
      <x:c r="N140" s="47"/>
      <x:c r="O140" s="47"/>
      <x:c r="P140" s="47"/>
      <x:c r="Q140" s="29" t="str">
        <x:f>IF($B140="","",SUM($K140:$L140)+IF($M140="Yes",3,0)+IF($N140="Yes",3,0)+IF($O140="Yes",2,0)+IF($P140="Yes",2,0))</x:f>
      </x:c>
      <x:c r="R140" s="29" t="str">
        <x:f>IF($Q140="","",IF($Q140&gt;=15,"Qualified",IF($Q140&gt;=10,"Maybe","Low fit")))</x:f>
      </x:c>
      <x:c r="S140" s="47"/>
      <x:c r="T140" s="56"/>
      <x:c r="U140" s="56"/>
      <x:c r="V140" s="56"/>
      <x:c r="W140" s="56"/>
      <x:c r="X140" s="56"/>
      <x:c r="Y140" s="56"/>
      <x:c r="Z140" s="56"/>
      <x:c r="AA140" s="56"/>
      <x:c r="AB140" s="48"/>
      <x:c r="AC140" s="47"/>
      <x:c r="AD140" s="49"/>
      <x:c r="AE140" s="49"/>
      <x:c r="AF140" s="56"/>
      <x:c r="AG140" s="32" t="str">
        <x:f>IF($B140="","",IF(MAX($T140:$AA140)=0,"",TODAY()-MAX($T140:$AA140)))</x:f>
      </x:c>
      <x:c r="AH140" s="47"/>
      <x:c r="AI140" s="47"/>
    </x:row>
    <x:row r="141" ht="15" hidden="0" customHeight="1">
      <x:c r="A141" s="29" t="str">
        <x:f>IF($B141&lt;&gt;"","SS-"&amp;TEXT(ROW()-4,"000"),"")</x:f>
      </x:c>
      <x:c r="B141" s="47"/>
      <x:c r="C141" s="47"/>
      <x:c r="D141" s="47"/>
      <x:c r="E141" s="47"/>
      <x:c r="F141" s="47"/>
      <x:c r="G141" s="48"/>
      <x:c r="H141" s="47"/>
      <x:c r="I141" s="49"/>
      <x:c r="J141" s="49"/>
      <x:c r="K141" s="50"/>
      <x:c r="L141" s="50"/>
      <x:c r="M141" s="47"/>
      <x:c r="N141" s="47"/>
      <x:c r="O141" s="47"/>
      <x:c r="P141" s="47"/>
      <x:c r="Q141" s="29" t="str">
        <x:f>IF($B141="","",SUM($K141:$L141)+IF($M141="Yes",3,0)+IF($N141="Yes",3,0)+IF($O141="Yes",2,0)+IF($P141="Yes",2,0))</x:f>
      </x:c>
      <x:c r="R141" s="29" t="str">
        <x:f>IF($Q141="","",IF($Q141&gt;=15,"Qualified",IF($Q141&gt;=10,"Maybe","Low fit")))</x:f>
      </x:c>
      <x:c r="S141" s="47"/>
      <x:c r="T141" s="56"/>
      <x:c r="U141" s="56"/>
      <x:c r="V141" s="56"/>
      <x:c r="W141" s="56"/>
      <x:c r="X141" s="56"/>
      <x:c r="Y141" s="56"/>
      <x:c r="Z141" s="56"/>
      <x:c r="AA141" s="56"/>
      <x:c r="AB141" s="48"/>
      <x:c r="AC141" s="47"/>
      <x:c r="AD141" s="49"/>
      <x:c r="AE141" s="49"/>
      <x:c r="AF141" s="56"/>
      <x:c r="AG141" s="32" t="str">
        <x:f>IF($B141="","",IF(MAX($T141:$AA141)=0,"",TODAY()-MAX($T141:$AA141)))</x:f>
      </x:c>
      <x:c r="AH141" s="47"/>
      <x:c r="AI141" s="47"/>
    </x:row>
    <x:row r="142" ht="15" hidden="0" customHeight="1">
      <x:c r="A142" s="29" t="str">
        <x:f>IF($B142&lt;&gt;"","SS-"&amp;TEXT(ROW()-4,"000"),"")</x:f>
      </x:c>
      <x:c r="B142" s="47"/>
      <x:c r="C142" s="47"/>
      <x:c r="D142" s="47"/>
      <x:c r="E142" s="47"/>
      <x:c r="F142" s="47"/>
      <x:c r="G142" s="48"/>
      <x:c r="H142" s="47"/>
      <x:c r="I142" s="49"/>
      <x:c r="J142" s="49"/>
      <x:c r="K142" s="50"/>
      <x:c r="L142" s="50"/>
      <x:c r="M142" s="47"/>
      <x:c r="N142" s="47"/>
      <x:c r="O142" s="47"/>
      <x:c r="P142" s="47"/>
      <x:c r="Q142" s="29" t="str">
        <x:f>IF($B142="","",SUM($K142:$L142)+IF($M142="Yes",3,0)+IF($N142="Yes",3,0)+IF($O142="Yes",2,0)+IF($P142="Yes",2,0))</x:f>
      </x:c>
      <x:c r="R142" s="29" t="str">
        <x:f>IF($Q142="","",IF($Q142&gt;=15,"Qualified",IF($Q142&gt;=10,"Maybe","Low fit")))</x:f>
      </x:c>
      <x:c r="S142" s="47"/>
      <x:c r="T142" s="56"/>
      <x:c r="U142" s="56"/>
      <x:c r="V142" s="56"/>
      <x:c r="W142" s="56"/>
      <x:c r="X142" s="56"/>
      <x:c r="Y142" s="56"/>
      <x:c r="Z142" s="56"/>
      <x:c r="AA142" s="56"/>
      <x:c r="AB142" s="48"/>
      <x:c r="AC142" s="47"/>
      <x:c r="AD142" s="49"/>
      <x:c r="AE142" s="49"/>
      <x:c r="AF142" s="56"/>
      <x:c r="AG142" s="32" t="str">
        <x:f>IF($B142="","",IF(MAX($T142:$AA142)=0,"",TODAY()-MAX($T142:$AA142)))</x:f>
      </x:c>
      <x:c r="AH142" s="47"/>
      <x:c r="AI142" s="47"/>
    </x:row>
    <x:row r="143" ht="15" hidden="0" customHeight="1">
      <x:c r="A143" s="29" t="str">
        <x:f>IF($B143&lt;&gt;"","SS-"&amp;TEXT(ROW()-4,"000"),"")</x:f>
      </x:c>
      <x:c r="B143" s="47"/>
      <x:c r="C143" s="47"/>
      <x:c r="D143" s="47"/>
      <x:c r="E143" s="47"/>
      <x:c r="F143" s="47"/>
      <x:c r="G143" s="48"/>
      <x:c r="H143" s="47"/>
      <x:c r="I143" s="49"/>
      <x:c r="J143" s="49"/>
      <x:c r="K143" s="50"/>
      <x:c r="L143" s="50"/>
      <x:c r="M143" s="47"/>
      <x:c r="N143" s="47"/>
      <x:c r="O143" s="47"/>
      <x:c r="P143" s="47"/>
      <x:c r="Q143" s="29" t="str">
        <x:f>IF($B143="","",SUM($K143:$L143)+IF($M143="Yes",3,0)+IF($N143="Yes",3,0)+IF($O143="Yes",2,0)+IF($P143="Yes",2,0))</x:f>
      </x:c>
      <x:c r="R143" s="29" t="str">
        <x:f>IF($Q143="","",IF($Q143&gt;=15,"Qualified",IF($Q143&gt;=10,"Maybe","Low fit")))</x:f>
      </x:c>
      <x:c r="S143" s="47"/>
      <x:c r="T143" s="56"/>
      <x:c r="U143" s="56"/>
      <x:c r="V143" s="56"/>
      <x:c r="W143" s="56"/>
      <x:c r="X143" s="56"/>
      <x:c r="Y143" s="56"/>
      <x:c r="Z143" s="56"/>
      <x:c r="AA143" s="56"/>
      <x:c r="AB143" s="48"/>
      <x:c r="AC143" s="47"/>
      <x:c r="AD143" s="49"/>
      <x:c r="AE143" s="49"/>
      <x:c r="AF143" s="56"/>
      <x:c r="AG143" s="32" t="str">
        <x:f>IF($B143="","",IF(MAX($T143:$AA143)=0,"",TODAY()-MAX($T143:$AA143)))</x:f>
      </x:c>
      <x:c r="AH143" s="47"/>
      <x:c r="AI143" s="47"/>
    </x:row>
    <x:row r="144" ht="15" hidden="0" customHeight="1">
      <x:c r="A144" s="29" t="str">
        <x:f>IF($B144&lt;&gt;"","SS-"&amp;TEXT(ROW()-4,"000"),"")</x:f>
      </x:c>
      <x:c r="B144" s="47"/>
      <x:c r="C144" s="47"/>
      <x:c r="D144" s="47"/>
      <x:c r="E144" s="47"/>
      <x:c r="F144" s="47"/>
      <x:c r="G144" s="48"/>
      <x:c r="H144" s="47"/>
      <x:c r="I144" s="49"/>
      <x:c r="J144" s="49"/>
      <x:c r="K144" s="50"/>
      <x:c r="L144" s="50"/>
      <x:c r="M144" s="47"/>
      <x:c r="N144" s="47"/>
      <x:c r="O144" s="47"/>
      <x:c r="P144" s="47"/>
      <x:c r="Q144" s="29" t="str">
        <x:f>IF($B144="","",SUM($K144:$L144)+IF($M144="Yes",3,0)+IF($N144="Yes",3,0)+IF($O144="Yes",2,0)+IF($P144="Yes",2,0))</x:f>
      </x:c>
      <x:c r="R144" s="29" t="str">
        <x:f>IF($Q144="","",IF($Q144&gt;=15,"Qualified",IF($Q144&gt;=10,"Maybe","Low fit")))</x:f>
      </x:c>
      <x:c r="S144" s="47"/>
      <x:c r="T144" s="56"/>
      <x:c r="U144" s="56"/>
      <x:c r="V144" s="56"/>
      <x:c r="W144" s="56"/>
      <x:c r="X144" s="56"/>
      <x:c r="Y144" s="56"/>
      <x:c r="Z144" s="56"/>
      <x:c r="AA144" s="56"/>
      <x:c r="AB144" s="48"/>
      <x:c r="AC144" s="47"/>
      <x:c r="AD144" s="49"/>
      <x:c r="AE144" s="49"/>
      <x:c r="AF144" s="56"/>
      <x:c r="AG144" s="32" t="str">
        <x:f>IF($B144="","",IF(MAX($T144:$AA144)=0,"",TODAY()-MAX($T144:$AA144)))</x:f>
      </x:c>
      <x:c r="AH144" s="47"/>
      <x:c r="AI144" s="47"/>
    </x:row>
    <x:row r="145" ht="15" hidden="0" customHeight="1">
      <x:c r="A145" s="29" t="str">
        <x:f>IF($B145&lt;&gt;"","SS-"&amp;TEXT(ROW()-4,"000"),"")</x:f>
      </x:c>
      <x:c r="B145" s="47"/>
      <x:c r="C145" s="47"/>
      <x:c r="D145" s="47"/>
      <x:c r="E145" s="47"/>
      <x:c r="F145" s="47"/>
      <x:c r="G145" s="48"/>
      <x:c r="H145" s="47"/>
      <x:c r="I145" s="49"/>
      <x:c r="J145" s="49"/>
      <x:c r="K145" s="50"/>
      <x:c r="L145" s="50"/>
      <x:c r="M145" s="47"/>
      <x:c r="N145" s="47"/>
      <x:c r="O145" s="47"/>
      <x:c r="P145" s="47"/>
      <x:c r="Q145" s="29" t="str">
        <x:f>IF($B145="","",SUM($K145:$L145)+IF($M145="Yes",3,0)+IF($N145="Yes",3,0)+IF($O145="Yes",2,0)+IF($P145="Yes",2,0))</x:f>
      </x:c>
      <x:c r="R145" s="29" t="str">
        <x:f>IF($Q145="","",IF($Q145&gt;=15,"Qualified",IF($Q145&gt;=10,"Maybe","Low fit")))</x:f>
      </x:c>
      <x:c r="S145" s="47"/>
      <x:c r="T145" s="56"/>
      <x:c r="U145" s="56"/>
      <x:c r="V145" s="56"/>
      <x:c r="W145" s="56"/>
      <x:c r="X145" s="56"/>
      <x:c r="Y145" s="56"/>
      <x:c r="Z145" s="56"/>
      <x:c r="AA145" s="56"/>
      <x:c r="AB145" s="48"/>
      <x:c r="AC145" s="47"/>
      <x:c r="AD145" s="49"/>
      <x:c r="AE145" s="49"/>
      <x:c r="AF145" s="56"/>
      <x:c r="AG145" s="32" t="str">
        <x:f>IF($B145="","",IF(MAX($T145:$AA145)=0,"",TODAY()-MAX($T145:$AA145)))</x:f>
      </x:c>
      <x:c r="AH145" s="47"/>
      <x:c r="AI145" s="47"/>
    </x:row>
    <x:row r="146" ht="15" hidden="0" customHeight="1">
      <x:c r="A146" s="29" t="str">
        <x:f>IF($B146&lt;&gt;"","SS-"&amp;TEXT(ROW()-4,"000"),"")</x:f>
      </x:c>
      <x:c r="B146" s="47"/>
      <x:c r="C146" s="47"/>
      <x:c r="D146" s="47"/>
      <x:c r="E146" s="47"/>
      <x:c r="F146" s="47"/>
      <x:c r="G146" s="48"/>
      <x:c r="H146" s="47"/>
      <x:c r="I146" s="49"/>
      <x:c r="J146" s="49"/>
      <x:c r="K146" s="50"/>
      <x:c r="L146" s="50"/>
      <x:c r="M146" s="47"/>
      <x:c r="N146" s="47"/>
      <x:c r="O146" s="47"/>
      <x:c r="P146" s="47"/>
      <x:c r="Q146" s="29" t="str">
        <x:f>IF($B146="","",SUM($K146:$L146)+IF($M146="Yes",3,0)+IF($N146="Yes",3,0)+IF($O146="Yes",2,0)+IF($P146="Yes",2,0))</x:f>
      </x:c>
      <x:c r="R146" s="29" t="str">
        <x:f>IF($Q146="","",IF($Q146&gt;=15,"Qualified",IF($Q146&gt;=10,"Maybe","Low fit")))</x:f>
      </x:c>
      <x:c r="S146" s="47"/>
      <x:c r="T146" s="56"/>
      <x:c r="U146" s="56"/>
      <x:c r="V146" s="56"/>
      <x:c r="W146" s="56"/>
      <x:c r="X146" s="56"/>
      <x:c r="Y146" s="56"/>
      <x:c r="Z146" s="56"/>
      <x:c r="AA146" s="56"/>
      <x:c r="AB146" s="48"/>
      <x:c r="AC146" s="47"/>
      <x:c r="AD146" s="49"/>
      <x:c r="AE146" s="49"/>
      <x:c r="AF146" s="56"/>
      <x:c r="AG146" s="32" t="str">
        <x:f>IF($B146="","",IF(MAX($T146:$AA146)=0,"",TODAY()-MAX($T146:$AA146)))</x:f>
      </x:c>
      <x:c r="AH146" s="47"/>
      <x:c r="AI146" s="47"/>
    </x:row>
    <x:row r="147" ht="15" hidden="0" customHeight="1">
      <x:c r="A147" s="29" t="str">
        <x:f>IF($B147&lt;&gt;"","SS-"&amp;TEXT(ROW()-4,"000"),"")</x:f>
      </x:c>
      <x:c r="B147" s="47"/>
      <x:c r="C147" s="47"/>
      <x:c r="D147" s="47"/>
      <x:c r="E147" s="47"/>
      <x:c r="F147" s="47"/>
      <x:c r="G147" s="48"/>
      <x:c r="H147" s="47"/>
      <x:c r="I147" s="49"/>
      <x:c r="J147" s="49"/>
      <x:c r="K147" s="50"/>
      <x:c r="L147" s="50"/>
      <x:c r="M147" s="47"/>
      <x:c r="N147" s="47"/>
      <x:c r="O147" s="47"/>
      <x:c r="P147" s="47"/>
      <x:c r="Q147" s="29" t="str">
        <x:f>IF($B147="","",SUM($K147:$L147)+IF($M147="Yes",3,0)+IF($N147="Yes",3,0)+IF($O147="Yes",2,0)+IF($P147="Yes",2,0))</x:f>
      </x:c>
      <x:c r="R147" s="29" t="str">
        <x:f>IF($Q147="","",IF($Q147&gt;=15,"Qualified",IF($Q147&gt;=10,"Maybe","Low fit")))</x:f>
      </x:c>
      <x:c r="S147" s="47"/>
      <x:c r="T147" s="56"/>
      <x:c r="U147" s="56"/>
      <x:c r="V147" s="56"/>
      <x:c r="W147" s="56"/>
      <x:c r="X147" s="56"/>
      <x:c r="Y147" s="56"/>
      <x:c r="Z147" s="56"/>
      <x:c r="AA147" s="56"/>
      <x:c r="AB147" s="48"/>
      <x:c r="AC147" s="47"/>
      <x:c r="AD147" s="49"/>
      <x:c r="AE147" s="49"/>
      <x:c r="AF147" s="56"/>
      <x:c r="AG147" s="32" t="str">
        <x:f>IF($B147="","",IF(MAX($T147:$AA147)=0,"",TODAY()-MAX($T147:$AA147)))</x:f>
      </x:c>
      <x:c r="AH147" s="47"/>
      <x:c r="AI147" s="47"/>
    </x:row>
    <x:row r="148" ht="15" hidden="0" customHeight="1">
      <x:c r="A148" s="29" t="str">
        <x:f>IF($B148&lt;&gt;"","SS-"&amp;TEXT(ROW()-4,"000"),"")</x:f>
      </x:c>
      <x:c r="B148" s="47"/>
      <x:c r="C148" s="47"/>
      <x:c r="D148" s="47"/>
      <x:c r="E148" s="47"/>
      <x:c r="F148" s="47"/>
      <x:c r="G148" s="48"/>
      <x:c r="H148" s="47"/>
      <x:c r="I148" s="49"/>
      <x:c r="J148" s="49"/>
      <x:c r="K148" s="50"/>
      <x:c r="L148" s="50"/>
      <x:c r="M148" s="47"/>
      <x:c r="N148" s="47"/>
      <x:c r="O148" s="47"/>
      <x:c r="P148" s="47"/>
      <x:c r="Q148" s="29" t="str">
        <x:f>IF($B148="","",SUM($K148:$L148)+IF($M148="Yes",3,0)+IF($N148="Yes",3,0)+IF($O148="Yes",2,0)+IF($P148="Yes",2,0))</x:f>
      </x:c>
      <x:c r="R148" s="29" t="str">
        <x:f>IF($Q148="","",IF($Q148&gt;=15,"Qualified",IF($Q148&gt;=10,"Maybe","Low fit")))</x:f>
      </x:c>
      <x:c r="S148" s="47"/>
      <x:c r="T148" s="56"/>
      <x:c r="U148" s="56"/>
      <x:c r="V148" s="56"/>
      <x:c r="W148" s="56"/>
      <x:c r="X148" s="56"/>
      <x:c r="Y148" s="56"/>
      <x:c r="Z148" s="56"/>
      <x:c r="AA148" s="56"/>
      <x:c r="AB148" s="48"/>
      <x:c r="AC148" s="47"/>
      <x:c r="AD148" s="49"/>
      <x:c r="AE148" s="49"/>
      <x:c r="AF148" s="56"/>
      <x:c r="AG148" s="32" t="str">
        <x:f>IF($B148="","",IF(MAX($T148:$AA148)=0,"",TODAY()-MAX($T148:$AA148)))</x:f>
      </x:c>
      <x:c r="AH148" s="47"/>
      <x:c r="AI148" s="47"/>
    </x:row>
    <x:row r="149" ht="15" hidden="0" customHeight="1">
      <x:c r="A149" s="29" t="str">
        <x:f>IF($B149&lt;&gt;"","SS-"&amp;TEXT(ROW()-4,"000"),"")</x:f>
      </x:c>
      <x:c r="B149" s="47"/>
      <x:c r="C149" s="47"/>
      <x:c r="D149" s="47"/>
      <x:c r="E149" s="47"/>
      <x:c r="F149" s="47"/>
      <x:c r="G149" s="48"/>
      <x:c r="H149" s="47"/>
      <x:c r="I149" s="49"/>
      <x:c r="J149" s="49"/>
      <x:c r="K149" s="50"/>
      <x:c r="L149" s="50"/>
      <x:c r="M149" s="47"/>
      <x:c r="N149" s="47"/>
      <x:c r="O149" s="47"/>
      <x:c r="P149" s="47"/>
      <x:c r="Q149" s="29" t="str">
        <x:f>IF($B149="","",SUM($K149:$L149)+IF($M149="Yes",3,0)+IF($N149="Yes",3,0)+IF($O149="Yes",2,0)+IF($P149="Yes",2,0))</x:f>
      </x:c>
      <x:c r="R149" s="29" t="str">
        <x:f>IF($Q149="","",IF($Q149&gt;=15,"Qualified",IF($Q149&gt;=10,"Maybe","Low fit")))</x:f>
      </x:c>
      <x:c r="S149" s="47"/>
      <x:c r="T149" s="56"/>
      <x:c r="U149" s="56"/>
      <x:c r="V149" s="56"/>
      <x:c r="W149" s="56"/>
      <x:c r="X149" s="56"/>
      <x:c r="Y149" s="56"/>
      <x:c r="Z149" s="56"/>
      <x:c r="AA149" s="56"/>
      <x:c r="AB149" s="48"/>
      <x:c r="AC149" s="47"/>
      <x:c r="AD149" s="49"/>
      <x:c r="AE149" s="49"/>
      <x:c r="AF149" s="56"/>
      <x:c r="AG149" s="32" t="str">
        <x:f>IF($B149="","",IF(MAX($T149:$AA149)=0,"",TODAY()-MAX($T149:$AA149)))</x:f>
      </x:c>
      <x:c r="AH149" s="47"/>
      <x:c r="AI149" s="47"/>
    </x:row>
    <x:row r="150" ht="15" hidden="0" customHeight="1">
      <x:c r="A150" s="29" t="str">
        <x:f>IF($B150&lt;&gt;"","SS-"&amp;TEXT(ROW()-4,"000"),"")</x:f>
      </x:c>
      <x:c r="B150" s="47"/>
      <x:c r="C150" s="47"/>
      <x:c r="D150" s="47"/>
      <x:c r="E150" s="47"/>
      <x:c r="F150" s="47"/>
      <x:c r="G150" s="48"/>
      <x:c r="H150" s="47"/>
      <x:c r="I150" s="49"/>
      <x:c r="J150" s="49"/>
      <x:c r="K150" s="50"/>
      <x:c r="L150" s="50"/>
      <x:c r="M150" s="47"/>
      <x:c r="N150" s="47"/>
      <x:c r="O150" s="47"/>
      <x:c r="P150" s="47"/>
      <x:c r="Q150" s="29" t="str">
        <x:f>IF($B150="","",SUM($K150:$L150)+IF($M150="Yes",3,0)+IF($N150="Yes",3,0)+IF($O150="Yes",2,0)+IF($P150="Yes",2,0))</x:f>
      </x:c>
      <x:c r="R150" s="29" t="str">
        <x:f>IF($Q150="","",IF($Q150&gt;=15,"Qualified",IF($Q150&gt;=10,"Maybe","Low fit")))</x:f>
      </x:c>
      <x:c r="S150" s="47"/>
      <x:c r="T150" s="56"/>
      <x:c r="U150" s="56"/>
      <x:c r="V150" s="56"/>
      <x:c r="W150" s="56"/>
      <x:c r="X150" s="56"/>
      <x:c r="Y150" s="56"/>
      <x:c r="Z150" s="56"/>
      <x:c r="AA150" s="56"/>
      <x:c r="AB150" s="48"/>
      <x:c r="AC150" s="47"/>
      <x:c r="AD150" s="49"/>
      <x:c r="AE150" s="49"/>
      <x:c r="AF150" s="56"/>
      <x:c r="AG150" s="32" t="str">
        <x:f>IF($B150="","",IF(MAX($T150:$AA150)=0,"",TODAY()-MAX($T150:$AA150)))</x:f>
      </x:c>
      <x:c r="AH150" s="47"/>
      <x:c r="AI150" s="47"/>
    </x:row>
    <x:row r="151" ht="15" hidden="0" customHeight="1">
      <x:c r="A151" s="29" t="str">
        <x:f>IF($B151&lt;&gt;"","SS-"&amp;TEXT(ROW()-4,"000"),"")</x:f>
      </x:c>
      <x:c r="B151" s="47"/>
      <x:c r="C151" s="47"/>
      <x:c r="D151" s="47"/>
      <x:c r="E151" s="47"/>
      <x:c r="F151" s="47"/>
      <x:c r="G151" s="48"/>
      <x:c r="H151" s="47"/>
      <x:c r="I151" s="49"/>
      <x:c r="J151" s="49"/>
      <x:c r="K151" s="50"/>
      <x:c r="L151" s="50"/>
      <x:c r="M151" s="47"/>
      <x:c r="N151" s="47"/>
      <x:c r="O151" s="47"/>
      <x:c r="P151" s="47"/>
      <x:c r="Q151" s="29" t="str">
        <x:f>IF($B151="","",SUM($K151:$L151)+IF($M151="Yes",3,0)+IF($N151="Yes",3,0)+IF($O151="Yes",2,0)+IF($P151="Yes",2,0))</x:f>
      </x:c>
      <x:c r="R151" s="29" t="str">
        <x:f>IF($Q151="","",IF($Q151&gt;=15,"Qualified",IF($Q151&gt;=10,"Maybe","Low fit")))</x:f>
      </x:c>
      <x:c r="S151" s="47"/>
      <x:c r="T151" s="56"/>
      <x:c r="U151" s="56"/>
      <x:c r="V151" s="56"/>
      <x:c r="W151" s="56"/>
      <x:c r="X151" s="56"/>
      <x:c r="Y151" s="56"/>
      <x:c r="Z151" s="56"/>
      <x:c r="AA151" s="56"/>
      <x:c r="AB151" s="48"/>
      <x:c r="AC151" s="47"/>
      <x:c r="AD151" s="49"/>
      <x:c r="AE151" s="49"/>
      <x:c r="AF151" s="56"/>
      <x:c r="AG151" s="32" t="str">
        <x:f>IF($B151="","",IF(MAX($T151:$AA151)=0,"",TODAY()-MAX($T151:$AA151)))</x:f>
      </x:c>
      <x:c r="AH151" s="47"/>
      <x:c r="AI151" s="47"/>
    </x:row>
    <x:row r="152" ht="15" hidden="0" customHeight="1">
      <x:c r="A152" s="29" t="str">
        <x:f>IF($B152&lt;&gt;"","SS-"&amp;TEXT(ROW()-4,"000"),"")</x:f>
      </x:c>
      <x:c r="B152" s="47"/>
      <x:c r="C152" s="47"/>
      <x:c r="D152" s="47"/>
      <x:c r="E152" s="47"/>
      <x:c r="F152" s="47"/>
      <x:c r="G152" s="48"/>
      <x:c r="H152" s="47"/>
      <x:c r="I152" s="49"/>
      <x:c r="J152" s="49"/>
      <x:c r="K152" s="50"/>
      <x:c r="L152" s="50"/>
      <x:c r="M152" s="47"/>
      <x:c r="N152" s="47"/>
      <x:c r="O152" s="47"/>
      <x:c r="P152" s="47"/>
      <x:c r="Q152" s="29" t="str">
        <x:f>IF($B152="","",SUM($K152:$L152)+IF($M152="Yes",3,0)+IF($N152="Yes",3,0)+IF($O152="Yes",2,0)+IF($P152="Yes",2,0))</x:f>
      </x:c>
      <x:c r="R152" s="29" t="str">
        <x:f>IF($Q152="","",IF($Q152&gt;=15,"Qualified",IF($Q152&gt;=10,"Maybe","Low fit")))</x:f>
      </x:c>
      <x:c r="S152" s="47"/>
      <x:c r="T152" s="56"/>
      <x:c r="U152" s="56"/>
      <x:c r="V152" s="56"/>
      <x:c r="W152" s="56"/>
      <x:c r="X152" s="56"/>
      <x:c r="Y152" s="56"/>
      <x:c r="Z152" s="56"/>
      <x:c r="AA152" s="56"/>
      <x:c r="AB152" s="48"/>
      <x:c r="AC152" s="47"/>
      <x:c r="AD152" s="49"/>
      <x:c r="AE152" s="49"/>
      <x:c r="AF152" s="56"/>
      <x:c r="AG152" s="32" t="str">
        <x:f>IF($B152="","",IF(MAX($T152:$AA152)=0,"",TODAY()-MAX($T152:$AA152)))</x:f>
      </x:c>
      <x:c r="AH152" s="47"/>
      <x:c r="AI152" s="47"/>
    </x:row>
    <x:row r="153" ht="15" hidden="0" customHeight="1">
      <x:c r="A153" s="29" t="str">
        <x:f>IF($B153&lt;&gt;"","SS-"&amp;TEXT(ROW()-4,"000"),"")</x:f>
      </x:c>
      <x:c r="B153" s="47"/>
      <x:c r="C153" s="47"/>
      <x:c r="D153" s="47"/>
      <x:c r="E153" s="47"/>
      <x:c r="F153" s="47"/>
      <x:c r="G153" s="48"/>
      <x:c r="H153" s="47"/>
      <x:c r="I153" s="49"/>
      <x:c r="J153" s="49"/>
      <x:c r="K153" s="50"/>
      <x:c r="L153" s="50"/>
      <x:c r="M153" s="47"/>
      <x:c r="N153" s="47"/>
      <x:c r="O153" s="47"/>
      <x:c r="P153" s="47"/>
      <x:c r="Q153" s="29" t="str">
        <x:f>IF($B153="","",SUM($K153:$L153)+IF($M153="Yes",3,0)+IF($N153="Yes",3,0)+IF($O153="Yes",2,0)+IF($P153="Yes",2,0))</x:f>
      </x:c>
      <x:c r="R153" s="29" t="str">
        <x:f>IF($Q153="","",IF($Q153&gt;=15,"Qualified",IF($Q153&gt;=10,"Maybe","Low fit")))</x:f>
      </x:c>
      <x:c r="S153" s="47"/>
      <x:c r="T153" s="56"/>
      <x:c r="U153" s="56"/>
      <x:c r="V153" s="56"/>
      <x:c r="W153" s="56"/>
      <x:c r="X153" s="56"/>
      <x:c r="Y153" s="56"/>
      <x:c r="Z153" s="56"/>
      <x:c r="AA153" s="56"/>
      <x:c r="AB153" s="48"/>
      <x:c r="AC153" s="47"/>
      <x:c r="AD153" s="49"/>
      <x:c r="AE153" s="49"/>
      <x:c r="AF153" s="56"/>
      <x:c r="AG153" s="32" t="str">
        <x:f>IF($B153="","",IF(MAX($T153:$AA153)=0,"",TODAY()-MAX($T153:$AA153)))</x:f>
      </x:c>
      <x:c r="AH153" s="47"/>
      <x:c r="AI153" s="47"/>
    </x:row>
    <x:row r="154" ht="15" hidden="0" customHeight="1">
      <x:c r="A154" s="30" t="str">
        <x:f>IF($B154&lt;&gt;"","SS-"&amp;TEXT(ROW()-4,"000"),"")</x:f>
      </x:c>
      <x:c r="B154" s="51"/>
      <x:c r="C154" s="51"/>
      <x:c r="D154" s="51"/>
      <x:c r="E154" s="51"/>
      <x:c r="F154" s="51"/>
      <x:c r="G154" s="52"/>
      <x:c r="H154" s="51"/>
      <x:c r="I154" s="53"/>
      <x:c r="J154" s="53"/>
      <x:c r="K154" s="54"/>
      <x:c r="L154" s="54"/>
      <x:c r="M154" s="51"/>
      <x:c r="N154" s="51"/>
      <x:c r="O154" s="51"/>
      <x:c r="P154" s="51"/>
      <x:c r="Q154" s="30" t="str">
        <x:f>IF($B154="","",SUM($K154:$L154)+IF($M154="Yes",3,0)+IF($N154="Yes",3,0)+IF($O154="Yes",2,0)+IF($P154="Yes",2,0))</x:f>
      </x:c>
      <x:c r="R154" s="30" t="str">
        <x:f>IF($Q154="","",IF($Q154&gt;=15,"Qualified",IF($Q154&gt;=10,"Maybe","Low fit")))</x:f>
      </x:c>
      <x:c r="S154" s="51"/>
      <x:c r="T154" s="57"/>
      <x:c r="U154" s="57"/>
      <x:c r="V154" s="57"/>
      <x:c r="W154" s="57"/>
      <x:c r="X154" s="57"/>
      <x:c r="Y154" s="57"/>
      <x:c r="Z154" s="57"/>
      <x:c r="AA154" s="57"/>
      <x:c r="AB154" s="52"/>
      <x:c r="AC154" s="51"/>
      <x:c r="AD154" s="53"/>
      <x:c r="AE154" s="53"/>
      <x:c r="AF154" s="57"/>
      <x:c r="AG154" s="33" t="str">
        <x:f>IF($B154="","",IF(MAX($T154:$AA154)=0,"",TODAY()-MAX($T154:$AA154)))</x:f>
      </x:c>
      <x:c r="AH154" s="51"/>
      <x:c r="AI154" s="51"/>
    </x:row>
  </x:sheetData>
  <x:mergeCells>
    <x:mergeCell ref="A1:AI1"/>
    <x:mergeCell ref="A2:H2"/>
  </x:mergeCells>
  <x:conditionalFormatting sqref="R5:R154">
    <x:cfRule type="containsText" dxfId="0" priority="1" operator="containsText" text="Qualified"/>
    <x:cfRule type="containsText" dxfId="1" priority="2" operator="containsText" text="Maybe"/>
    <x:cfRule type="containsText" dxfId="2" priority="3" operator="containsText" text="Low fit"/>
  </x:conditionalFormatting>
  <x:conditionalFormatting sqref="S5:S154">
    <x:cfRule type="containsText" dxfId="3" priority="4" operator="containsText" text="Approved"/>
    <x:cfRule type="containsText" dxfId="4" priority="5" operator="containsText" text="Activated"/>
    <x:cfRule type="containsText" dxfId="5" priority="6" operator="containsText" text="Shared Proof"/>
    <x:cfRule type="containsText" dxfId="6" priority="7" operator="containsText" text="Not Fit"/>
  </x:conditionalFormatting>
  <x:dataValidations count="6">
    <x:dataValidation type="list" sqref="F5:F154">
      <x:formula1>"Instagram Bio,Instagram DM,Instagram Reels,Pinterest Organic,Pinterest Paid,Partner Outreach,Ravelry/Community,Referral,Waitlist,Website,Other"</x:formula1>
    </x:dataValidation>
    <x:dataValidation type="list" sqref="H5:H154">
      <x:formula1>"Ravelry,Etsy,Shopify,Gumroad,Payhip,Own Site,Multiple,Other"</x:formula1>
    </x:dataValidation>
    <x:dataValidation type="list" sqref="K5:L154">
      <x:formula1>"0,1,2,3,4,5"</x:formula1>
    </x:dataValidation>
    <x:dataValidation type="list" sqref="M5:P154">
      <x:formula1>"Yes,No,Unknown"</x:formula1>
    </x:dataValidation>
    <x:dataValidation type="list" sqref="S5:S154">
      <x:formula1>"Prospect,DM Sent,Replied,Applied,Qualified,Approved,Activated,Translated,Shared Proof,Referral Asked,Paid,Nurture,Not Fit,No Reply"</x:formula1>
    </x:dataValidation>
    <x:dataValidation type="list" sqref="AC5:AC154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e014e233a5429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20" hidden="0" customWidth="1"/>
    <x:col min="4" max="4" width="20" hidden="0" customWidth="1"/>
    <x:col min="5" max="5" width="24" hidden="0" customWidth="1"/>
    <x:col min="6" max="6" width="18" hidden="0" customWidth="1"/>
    <x:col min="7" max="7" width="16" hidden="0" customWidth="1"/>
    <x:col min="8" max="8" width="30" hidden="0" customWidth="1"/>
    <x:col min="9" max="9" width="30" hidden="0" customWidth="1"/>
    <x:col min="10" max="10" width="18" hidden="0" customWidth="1"/>
    <x:col min="11" max="11" width="13" hidden="0" customWidth="1"/>
    <x:col min="12" max="12" width="13" hidden="0" customWidth="1"/>
    <x:col min="13" max="13" width="13" hidden="0" customWidth="1"/>
    <x:col min="14" max="14" width="14" hidden="0" customWidth="1"/>
    <x:col min="15" max="15" width="30" hidden="0" customWidth="1"/>
    <x:col min="16" max="16" width="24" hidden="0" customWidth="1"/>
    <x:col min="17" max="17" width="14" hidden="0" customWidth="1"/>
  </x:cols>
  <x:sheetData>
    <x:row r="1" ht="19.200000762939453" hidden="0" customHeight="1">
      <x:c r="A1" s="4" t="str">
        <x:v>StitchSpeak Partner Outreach CRM</x:v>
      </x:c>
      <x:c r="B1" s="4" t="str">
        <x:v>StitchSpeak Partner Outreach CRM</x:v>
      </x:c>
      <x:c r="C1" s="4" t="str">
        <x:v>StitchSpeak Partner Outreach CRM</x:v>
      </x:c>
      <x:c r="D1" s="4" t="str">
        <x:v>StitchSpeak Partner Outreach CRM</x:v>
      </x:c>
      <x:c r="E1" s="4" t="str">
        <x:v>StitchSpeak Partner Outreach CRM</x:v>
      </x:c>
      <x:c r="F1" s="4" t="str">
        <x:v>StitchSpeak Partner Outreach CRM</x:v>
      </x:c>
      <x:c r="G1" s="4" t="str">
        <x:v>StitchSpeak Partner Outreach CRM</x:v>
      </x:c>
      <x:c r="H1" s="4" t="str">
        <x:v>StitchSpeak Partner Outreach CRM</x:v>
      </x:c>
      <x:c r="I1" s="4" t="str">
        <x:v>StitchSpeak Partner Outreach CRM</x:v>
      </x:c>
      <x:c r="J1" s="4" t="str">
        <x:v>StitchSpeak Partner Outreach CRM</x:v>
      </x:c>
      <x:c r="K1" s="4" t="str">
        <x:v>StitchSpeak Partner Outreach CRM</x:v>
      </x:c>
      <x:c r="L1" s="4" t="str">
        <x:v>StitchSpeak Partner Outreach CRM</x:v>
      </x:c>
      <x:c r="M1" s="4" t="str">
        <x:v>StitchSpeak Partner Outreach CRM</x:v>
      </x:c>
      <x:c r="N1" s="4" t="str">
        <x:v>StitchSpeak Partner Outreach CRM</x:v>
      </x:c>
      <x:c r="O1" s="4" t="str">
        <x:v>StitchSpeak Partner Outreach CRM</x:v>
      </x:c>
      <x:c r="P1" s="4" t="str">
        <x:v>StitchSpeak Partner Outreach CRM</x:v>
      </x:c>
      <x:c r="Q1" s="4" t="str">
        <x:v>StitchSpeak Partner Outreach CRM</x:v>
      </x:c>
    </x:row>
    <x:row r="2" ht="15" hidden="0" customHeight="1">
      <x:c r="A2" s="8" t="str">
        <x:v>Track technical editors, educators, yarn shops, newsletters, and community partners.</x:v>
      </x:c>
      <x:c r="B2" s="8" t="str">
        <x:v>Track technical editors, educators, yarn shops, newsletters, and community partners.</x:v>
      </x:c>
      <x:c r="C2" s="8" t="str">
        <x:v>Track technical editors, educators, yarn shops, newsletters, and community partners.</x:v>
      </x:c>
      <x:c r="D2" s="8" t="str">
        <x:v>Track technical editors, educators, yarn shops, newsletters, and community partners.</x:v>
      </x:c>
      <x:c r="E2" s="8" t="str">
        <x:v>Track technical editors, educators, yarn shops, newsletters, and community partners.</x:v>
      </x:c>
      <x:c r="F2" s="8" t="str">
        <x:v>Track technical editors, educators, yarn shops, newsletters, and community partners.</x:v>
      </x:c>
      <x:c r="G2" s="8" t="str">
        <x:v>Track technical editors, educators, yarn shops, newsletters, and community partners.</x:v>
      </x:c>
      <x:c r="H2" s="8" t="str">
        <x:v>Track technical editors, educators, yarn shops, newsletters, and community partners.</x:v>
      </x:c>
    </x:row>
    <x:row r="3"/>
    <x:row r="4" ht="15" hidden="0" customHeight="1">
      <x:c r="A4" s="20" t="str">
        <x:v>Partner ID</x:v>
      </x:c>
      <x:c r="B4" s="21" t="str">
        <x:v>Partner Name</x:v>
      </x:c>
      <x:c r="C4" s="21" t="str">
        <x:v>Type</x:v>
      </x:c>
      <x:c r="D4" s="21" t="str">
        <x:v>Contact</x:v>
      </x:c>
      <x:c r="E4" s="21" t="str">
        <x:v>Email</x:v>
      </x:c>
      <x:c r="F4" s="21" t="str">
        <x:v>Source</x:v>
      </x:c>
      <x:c r="G4" s="21" t="str">
        <x:v>Audience / Reach</x:v>
      </x:c>
      <x:c r="H4" s="21" t="str">
        <x:v>Fit Reason</x:v>
      </x:c>
      <x:c r="I4" s="21" t="str">
        <x:v>Offer / Ask</x:v>
      </x:c>
      <x:c r="J4" s="21" t="str">
        <x:v>Status</x:v>
      </x:c>
      <x:c r="K4" s="21" t="str">
        <x:v>Outreach Date</x:v>
      </x:c>
      <x:c r="L4" s="21" t="str">
        <x:v>Reply Date</x:v>
      </x:c>
      <x:c r="M4" s="21" t="str">
        <x:v>Mention Date</x:v>
      </x:c>
      <x:c r="N4" s="21" t="str">
        <x:v>Leads Attributed</x:v>
      </x:c>
      <x:c r="O4" s="21" t="str">
        <x:v>Notes</x:v>
      </x:c>
      <x:c r="P4" s="21" t="str">
        <x:v>Next Action</x:v>
      </x:c>
      <x:c r="Q4" s="22" t="str">
        <x:v>Next Action Date</x:v>
      </x:c>
    </x:row>
    <x:row r="5" ht="15" hidden="0" customHeight="1">
      <x:c r="A5" s="28" t="str">
        <x:f>IF($B5&lt;&gt;"","SP-"&amp;TEXT(ROW()-4,"000"),"")</x:f>
      </x:c>
      <x:c r="B5" s="43"/>
      <x:c r="C5" s="43"/>
      <x:c r="D5" s="43"/>
      <x:c r="E5" s="43"/>
      <x:c r="F5" s="43"/>
      <x:c r="G5" s="43"/>
      <x:c r="H5" s="45"/>
      <x:c r="I5" s="45"/>
      <x:c r="J5" s="43"/>
      <x:c r="K5" s="55"/>
      <x:c r="L5" s="55"/>
      <x:c r="M5" s="55"/>
      <x:c r="N5" s="44"/>
      <x:c r="O5" s="45"/>
      <x:c r="P5" s="45"/>
      <x:c r="Q5" s="55"/>
    </x:row>
    <x:row r="6" ht="15" hidden="0" customHeight="1">
      <x:c r="A6" s="29" t="str">
        <x:f>IF($B6&lt;&gt;"","SP-"&amp;TEXT(ROW()-4,"000"),"")</x:f>
      </x:c>
      <x:c r="B6" s="47"/>
      <x:c r="C6" s="47"/>
      <x:c r="D6" s="47"/>
      <x:c r="E6" s="47"/>
      <x:c r="F6" s="47"/>
      <x:c r="G6" s="47"/>
      <x:c r="H6" s="49"/>
      <x:c r="I6" s="49"/>
      <x:c r="J6" s="47"/>
      <x:c r="K6" s="56"/>
      <x:c r="L6" s="56"/>
      <x:c r="M6" s="56"/>
      <x:c r="N6" s="48"/>
      <x:c r="O6" s="49"/>
      <x:c r="P6" s="49"/>
      <x:c r="Q6" s="56"/>
    </x:row>
    <x:row r="7" ht="15" hidden="0" customHeight="1">
      <x:c r="A7" s="29" t="str">
        <x:f>IF($B7&lt;&gt;"","SP-"&amp;TEXT(ROW()-4,"000"),"")</x:f>
      </x:c>
      <x:c r="B7" s="47"/>
      <x:c r="C7" s="47"/>
      <x:c r="D7" s="47"/>
      <x:c r="E7" s="47"/>
      <x:c r="F7" s="47"/>
      <x:c r="G7" s="47"/>
      <x:c r="H7" s="49"/>
      <x:c r="I7" s="49"/>
      <x:c r="J7" s="47"/>
      <x:c r="K7" s="56"/>
      <x:c r="L7" s="56"/>
      <x:c r="M7" s="56"/>
      <x:c r="N7" s="48"/>
      <x:c r="O7" s="49"/>
      <x:c r="P7" s="49"/>
      <x:c r="Q7" s="56"/>
    </x:row>
    <x:row r="8" ht="15" hidden="0" customHeight="1">
      <x:c r="A8" s="29" t="str">
        <x:f>IF($B8&lt;&gt;"","SP-"&amp;TEXT(ROW()-4,"000"),"")</x:f>
      </x:c>
      <x:c r="B8" s="47"/>
      <x:c r="C8" s="47"/>
      <x:c r="D8" s="47"/>
      <x:c r="E8" s="47"/>
      <x:c r="F8" s="47"/>
      <x:c r="G8" s="47"/>
      <x:c r="H8" s="49"/>
      <x:c r="I8" s="49"/>
      <x:c r="J8" s="47"/>
      <x:c r="K8" s="56"/>
      <x:c r="L8" s="56"/>
      <x:c r="M8" s="56"/>
      <x:c r="N8" s="48"/>
      <x:c r="O8" s="49"/>
      <x:c r="P8" s="49"/>
      <x:c r="Q8" s="56"/>
    </x:row>
    <x:row r="9" ht="15" hidden="0" customHeight="1">
      <x:c r="A9" s="29" t="str">
        <x:f>IF($B9&lt;&gt;"","SP-"&amp;TEXT(ROW()-4,"000"),"")</x:f>
      </x:c>
      <x:c r="B9" s="47"/>
      <x:c r="C9" s="47"/>
      <x:c r="D9" s="47"/>
      <x:c r="E9" s="47"/>
      <x:c r="F9" s="47"/>
      <x:c r="G9" s="47"/>
      <x:c r="H9" s="49"/>
      <x:c r="I9" s="49"/>
      <x:c r="J9" s="47"/>
      <x:c r="K9" s="56"/>
      <x:c r="L9" s="56"/>
      <x:c r="M9" s="56"/>
      <x:c r="N9" s="48"/>
      <x:c r="O9" s="49"/>
      <x:c r="P9" s="49"/>
      <x:c r="Q9" s="56"/>
    </x:row>
    <x:row r="10" ht="15" hidden="0" customHeight="1">
      <x:c r="A10" s="29" t="str">
        <x:f>IF($B10&lt;&gt;"","SP-"&amp;TEXT(ROW()-4,"000"),"")</x:f>
      </x:c>
      <x:c r="B10" s="47"/>
      <x:c r="C10" s="47"/>
      <x:c r="D10" s="47"/>
      <x:c r="E10" s="47"/>
      <x:c r="F10" s="47"/>
      <x:c r="G10" s="47"/>
      <x:c r="H10" s="49"/>
      <x:c r="I10" s="49"/>
      <x:c r="J10" s="47"/>
      <x:c r="K10" s="56"/>
      <x:c r="L10" s="56"/>
      <x:c r="M10" s="56"/>
      <x:c r="N10" s="48"/>
      <x:c r="O10" s="49"/>
      <x:c r="P10" s="49"/>
      <x:c r="Q10" s="56"/>
    </x:row>
    <x:row r="11" ht="15" hidden="0" customHeight="1">
      <x:c r="A11" s="29" t="str">
        <x:f>IF($B11&lt;&gt;"","SP-"&amp;TEXT(ROW()-4,"000"),"")</x:f>
      </x:c>
      <x:c r="B11" s="47"/>
      <x:c r="C11" s="47"/>
      <x:c r="D11" s="47"/>
      <x:c r="E11" s="47"/>
      <x:c r="F11" s="47"/>
      <x:c r="G11" s="47"/>
      <x:c r="H11" s="49"/>
      <x:c r="I11" s="49"/>
      <x:c r="J11" s="47"/>
      <x:c r="K11" s="56"/>
      <x:c r="L11" s="56"/>
      <x:c r="M11" s="56"/>
      <x:c r="N11" s="48"/>
      <x:c r="O11" s="49"/>
      <x:c r="P11" s="49"/>
      <x:c r="Q11" s="56"/>
    </x:row>
    <x:row r="12" ht="15" hidden="0" customHeight="1">
      <x:c r="A12" s="29" t="str">
        <x:f>IF($B12&lt;&gt;"","SP-"&amp;TEXT(ROW()-4,"000"),"")</x:f>
      </x:c>
      <x:c r="B12" s="47"/>
      <x:c r="C12" s="47"/>
      <x:c r="D12" s="47"/>
      <x:c r="E12" s="47"/>
      <x:c r="F12" s="47"/>
      <x:c r="G12" s="47"/>
      <x:c r="H12" s="49"/>
      <x:c r="I12" s="49"/>
      <x:c r="J12" s="47"/>
      <x:c r="K12" s="56"/>
      <x:c r="L12" s="56"/>
      <x:c r="M12" s="56"/>
      <x:c r="N12" s="48"/>
      <x:c r="O12" s="49"/>
      <x:c r="P12" s="49"/>
      <x:c r="Q12" s="56"/>
    </x:row>
    <x:row r="13" ht="15" hidden="0" customHeight="1">
      <x:c r="A13" s="29" t="str">
        <x:f>IF($B13&lt;&gt;"","SP-"&amp;TEXT(ROW()-4,"000"),"")</x:f>
      </x:c>
      <x:c r="B13" s="47"/>
      <x:c r="C13" s="47"/>
      <x:c r="D13" s="47"/>
      <x:c r="E13" s="47"/>
      <x:c r="F13" s="47"/>
      <x:c r="G13" s="47"/>
      <x:c r="H13" s="49"/>
      <x:c r="I13" s="49"/>
      <x:c r="J13" s="47"/>
      <x:c r="K13" s="56"/>
      <x:c r="L13" s="56"/>
      <x:c r="M13" s="56"/>
      <x:c r="N13" s="48"/>
      <x:c r="O13" s="49"/>
      <x:c r="P13" s="49"/>
      <x:c r="Q13" s="56"/>
    </x:row>
    <x:row r="14" ht="15" hidden="0" customHeight="1">
      <x:c r="A14" s="29" t="str">
        <x:f>IF($B14&lt;&gt;"","SP-"&amp;TEXT(ROW()-4,"000"),"")</x:f>
      </x:c>
      <x:c r="B14" s="47"/>
      <x:c r="C14" s="47"/>
      <x:c r="D14" s="47"/>
      <x:c r="E14" s="47"/>
      <x:c r="F14" s="47"/>
      <x:c r="G14" s="47"/>
      <x:c r="H14" s="49"/>
      <x:c r="I14" s="49"/>
      <x:c r="J14" s="47"/>
      <x:c r="K14" s="56"/>
      <x:c r="L14" s="56"/>
      <x:c r="M14" s="56"/>
      <x:c r="N14" s="48"/>
      <x:c r="O14" s="49"/>
      <x:c r="P14" s="49"/>
      <x:c r="Q14" s="56"/>
    </x:row>
    <x:row r="15" ht="15" hidden="0" customHeight="1">
      <x:c r="A15" s="29" t="str">
        <x:f>IF($B15&lt;&gt;"","SP-"&amp;TEXT(ROW()-4,"000"),"")</x:f>
      </x:c>
      <x:c r="B15" s="47"/>
      <x:c r="C15" s="47"/>
      <x:c r="D15" s="47"/>
      <x:c r="E15" s="47"/>
      <x:c r="F15" s="47"/>
      <x:c r="G15" s="47"/>
      <x:c r="H15" s="49"/>
      <x:c r="I15" s="49"/>
      <x:c r="J15" s="47"/>
      <x:c r="K15" s="56"/>
      <x:c r="L15" s="56"/>
      <x:c r="M15" s="56"/>
      <x:c r="N15" s="48"/>
      <x:c r="O15" s="49"/>
      <x:c r="P15" s="49"/>
      <x:c r="Q15" s="56"/>
    </x:row>
    <x:row r="16" ht="15" hidden="0" customHeight="1">
      <x:c r="A16" s="29" t="str">
        <x:f>IF($B16&lt;&gt;"","SP-"&amp;TEXT(ROW()-4,"000"),"")</x:f>
      </x:c>
      <x:c r="B16" s="47"/>
      <x:c r="C16" s="47"/>
      <x:c r="D16" s="47"/>
      <x:c r="E16" s="47"/>
      <x:c r="F16" s="47"/>
      <x:c r="G16" s="47"/>
      <x:c r="H16" s="49"/>
      <x:c r="I16" s="49"/>
      <x:c r="J16" s="47"/>
      <x:c r="K16" s="56"/>
      <x:c r="L16" s="56"/>
      <x:c r="M16" s="56"/>
      <x:c r="N16" s="48"/>
      <x:c r="O16" s="49"/>
      <x:c r="P16" s="49"/>
      <x:c r="Q16" s="56"/>
    </x:row>
    <x:row r="17" ht="15" hidden="0" customHeight="1">
      <x:c r="A17" s="29" t="str">
        <x:f>IF($B17&lt;&gt;"","SP-"&amp;TEXT(ROW()-4,"000"),"")</x:f>
      </x:c>
      <x:c r="B17" s="47"/>
      <x:c r="C17" s="47"/>
      <x:c r="D17" s="47"/>
      <x:c r="E17" s="47"/>
      <x:c r="F17" s="47"/>
      <x:c r="G17" s="47"/>
      <x:c r="H17" s="49"/>
      <x:c r="I17" s="49"/>
      <x:c r="J17" s="47"/>
      <x:c r="K17" s="56"/>
      <x:c r="L17" s="56"/>
      <x:c r="M17" s="56"/>
      <x:c r="N17" s="48"/>
      <x:c r="O17" s="49"/>
      <x:c r="P17" s="49"/>
      <x:c r="Q17" s="56"/>
    </x:row>
    <x:row r="18" ht="15" hidden="0" customHeight="1">
      <x:c r="A18" s="29" t="str">
        <x:f>IF($B18&lt;&gt;"","SP-"&amp;TEXT(ROW()-4,"000"),"")</x:f>
      </x:c>
      <x:c r="B18" s="47"/>
      <x:c r="C18" s="47"/>
      <x:c r="D18" s="47"/>
      <x:c r="E18" s="47"/>
      <x:c r="F18" s="47"/>
      <x:c r="G18" s="47"/>
      <x:c r="H18" s="49"/>
      <x:c r="I18" s="49"/>
      <x:c r="J18" s="47"/>
      <x:c r="K18" s="56"/>
      <x:c r="L18" s="56"/>
      <x:c r="M18" s="56"/>
      <x:c r="N18" s="48"/>
      <x:c r="O18" s="49"/>
      <x:c r="P18" s="49"/>
      <x:c r="Q18" s="56"/>
    </x:row>
    <x:row r="19" ht="15" hidden="0" customHeight="1">
      <x:c r="A19" s="29" t="str">
        <x:f>IF($B19&lt;&gt;"","SP-"&amp;TEXT(ROW()-4,"000"),"")</x:f>
      </x:c>
      <x:c r="B19" s="47"/>
      <x:c r="C19" s="47"/>
      <x:c r="D19" s="47"/>
      <x:c r="E19" s="47"/>
      <x:c r="F19" s="47"/>
      <x:c r="G19" s="47"/>
      <x:c r="H19" s="49"/>
      <x:c r="I19" s="49"/>
      <x:c r="J19" s="47"/>
      <x:c r="K19" s="56"/>
      <x:c r="L19" s="56"/>
      <x:c r="M19" s="56"/>
      <x:c r="N19" s="48"/>
      <x:c r="O19" s="49"/>
      <x:c r="P19" s="49"/>
      <x:c r="Q19" s="56"/>
    </x:row>
    <x:row r="20" ht="15" hidden="0" customHeight="1">
      <x:c r="A20" s="29" t="str">
        <x:f>IF($B20&lt;&gt;"","SP-"&amp;TEXT(ROW()-4,"000"),"")</x:f>
      </x:c>
      <x:c r="B20" s="47"/>
      <x:c r="C20" s="47"/>
      <x:c r="D20" s="47"/>
      <x:c r="E20" s="47"/>
      <x:c r="F20" s="47"/>
      <x:c r="G20" s="47"/>
      <x:c r="H20" s="49"/>
      <x:c r="I20" s="49"/>
      <x:c r="J20" s="47"/>
      <x:c r="K20" s="56"/>
      <x:c r="L20" s="56"/>
      <x:c r="M20" s="56"/>
      <x:c r="N20" s="48"/>
      <x:c r="O20" s="49"/>
      <x:c r="P20" s="49"/>
      <x:c r="Q20" s="56"/>
    </x:row>
    <x:row r="21" ht="15" hidden="0" customHeight="1">
      <x:c r="A21" s="29" t="str">
        <x:f>IF($B21&lt;&gt;"","SP-"&amp;TEXT(ROW()-4,"000"),"")</x:f>
      </x:c>
      <x:c r="B21" s="47"/>
      <x:c r="C21" s="47"/>
      <x:c r="D21" s="47"/>
      <x:c r="E21" s="47"/>
      <x:c r="F21" s="47"/>
      <x:c r="G21" s="47"/>
      <x:c r="H21" s="49"/>
      <x:c r="I21" s="49"/>
      <x:c r="J21" s="47"/>
      <x:c r="K21" s="56"/>
      <x:c r="L21" s="56"/>
      <x:c r="M21" s="56"/>
      <x:c r="N21" s="48"/>
      <x:c r="O21" s="49"/>
      <x:c r="P21" s="49"/>
      <x:c r="Q21" s="56"/>
    </x:row>
    <x:row r="22" ht="15" hidden="0" customHeight="1">
      <x:c r="A22" s="29" t="str">
        <x:f>IF($B22&lt;&gt;"","SP-"&amp;TEXT(ROW()-4,"000"),"")</x:f>
      </x:c>
      <x:c r="B22" s="47"/>
      <x:c r="C22" s="47"/>
      <x:c r="D22" s="47"/>
      <x:c r="E22" s="47"/>
      <x:c r="F22" s="47"/>
      <x:c r="G22" s="47"/>
      <x:c r="H22" s="49"/>
      <x:c r="I22" s="49"/>
      <x:c r="J22" s="47"/>
      <x:c r="K22" s="56"/>
      <x:c r="L22" s="56"/>
      <x:c r="M22" s="56"/>
      <x:c r="N22" s="48"/>
      <x:c r="O22" s="49"/>
      <x:c r="P22" s="49"/>
      <x:c r="Q22" s="56"/>
    </x:row>
    <x:row r="23" ht="15" hidden="0" customHeight="1">
      <x:c r="A23" s="29" t="str">
        <x:f>IF($B23&lt;&gt;"","SP-"&amp;TEXT(ROW()-4,"000"),"")</x:f>
      </x:c>
      <x:c r="B23" s="47"/>
      <x:c r="C23" s="47"/>
      <x:c r="D23" s="47"/>
      <x:c r="E23" s="47"/>
      <x:c r="F23" s="47"/>
      <x:c r="G23" s="47"/>
      <x:c r="H23" s="49"/>
      <x:c r="I23" s="49"/>
      <x:c r="J23" s="47"/>
      <x:c r="K23" s="56"/>
      <x:c r="L23" s="56"/>
      <x:c r="M23" s="56"/>
      <x:c r="N23" s="48"/>
      <x:c r="O23" s="49"/>
      <x:c r="P23" s="49"/>
      <x:c r="Q23" s="56"/>
    </x:row>
    <x:row r="24" ht="15" hidden="0" customHeight="1">
      <x:c r="A24" s="29" t="str">
        <x:f>IF($B24&lt;&gt;"","SP-"&amp;TEXT(ROW()-4,"000"),"")</x:f>
      </x:c>
      <x:c r="B24" s="47"/>
      <x:c r="C24" s="47"/>
      <x:c r="D24" s="47"/>
      <x:c r="E24" s="47"/>
      <x:c r="F24" s="47"/>
      <x:c r="G24" s="47"/>
      <x:c r="H24" s="49"/>
      <x:c r="I24" s="49"/>
      <x:c r="J24" s="47"/>
      <x:c r="K24" s="56"/>
      <x:c r="L24" s="56"/>
      <x:c r="M24" s="56"/>
      <x:c r="N24" s="48"/>
      <x:c r="O24" s="49"/>
      <x:c r="P24" s="49"/>
      <x:c r="Q24" s="56"/>
    </x:row>
    <x:row r="25" ht="15" hidden="0" customHeight="1">
      <x:c r="A25" s="29" t="str">
        <x:f>IF($B25&lt;&gt;"","SP-"&amp;TEXT(ROW()-4,"000"),"")</x:f>
      </x:c>
      <x:c r="B25" s="47"/>
      <x:c r="C25" s="47"/>
      <x:c r="D25" s="47"/>
      <x:c r="E25" s="47"/>
      <x:c r="F25" s="47"/>
      <x:c r="G25" s="47"/>
      <x:c r="H25" s="49"/>
      <x:c r="I25" s="49"/>
      <x:c r="J25" s="47"/>
      <x:c r="K25" s="56"/>
      <x:c r="L25" s="56"/>
      <x:c r="M25" s="56"/>
      <x:c r="N25" s="48"/>
      <x:c r="O25" s="49"/>
      <x:c r="P25" s="49"/>
      <x:c r="Q25" s="56"/>
    </x:row>
    <x:row r="26" ht="15" hidden="0" customHeight="1">
      <x:c r="A26" s="29" t="str">
        <x:f>IF($B26&lt;&gt;"","SP-"&amp;TEXT(ROW()-4,"000"),"")</x:f>
      </x:c>
      <x:c r="B26" s="47"/>
      <x:c r="C26" s="47"/>
      <x:c r="D26" s="47"/>
      <x:c r="E26" s="47"/>
      <x:c r="F26" s="47"/>
      <x:c r="G26" s="47"/>
      <x:c r="H26" s="49"/>
      <x:c r="I26" s="49"/>
      <x:c r="J26" s="47"/>
      <x:c r="K26" s="56"/>
      <x:c r="L26" s="56"/>
      <x:c r="M26" s="56"/>
      <x:c r="N26" s="48"/>
      <x:c r="O26" s="49"/>
      <x:c r="P26" s="49"/>
      <x:c r="Q26" s="56"/>
    </x:row>
    <x:row r="27" ht="15" hidden="0" customHeight="1">
      <x:c r="A27" s="29" t="str">
        <x:f>IF($B27&lt;&gt;"","SP-"&amp;TEXT(ROW()-4,"000"),"")</x:f>
      </x:c>
      <x:c r="B27" s="47"/>
      <x:c r="C27" s="47"/>
      <x:c r="D27" s="47"/>
      <x:c r="E27" s="47"/>
      <x:c r="F27" s="47"/>
      <x:c r="G27" s="47"/>
      <x:c r="H27" s="49"/>
      <x:c r="I27" s="49"/>
      <x:c r="J27" s="47"/>
      <x:c r="K27" s="56"/>
      <x:c r="L27" s="56"/>
      <x:c r="M27" s="56"/>
      <x:c r="N27" s="48"/>
      <x:c r="O27" s="49"/>
      <x:c r="P27" s="49"/>
      <x:c r="Q27" s="56"/>
    </x:row>
    <x:row r="28" ht="15" hidden="0" customHeight="1">
      <x:c r="A28" s="29" t="str">
        <x:f>IF($B28&lt;&gt;"","SP-"&amp;TEXT(ROW()-4,"000"),"")</x:f>
      </x:c>
      <x:c r="B28" s="47"/>
      <x:c r="C28" s="47"/>
      <x:c r="D28" s="47"/>
      <x:c r="E28" s="47"/>
      <x:c r="F28" s="47"/>
      <x:c r="G28" s="47"/>
      <x:c r="H28" s="49"/>
      <x:c r="I28" s="49"/>
      <x:c r="J28" s="47"/>
      <x:c r="K28" s="56"/>
      <x:c r="L28" s="56"/>
      <x:c r="M28" s="56"/>
      <x:c r="N28" s="48"/>
      <x:c r="O28" s="49"/>
      <x:c r="P28" s="49"/>
      <x:c r="Q28" s="56"/>
    </x:row>
    <x:row r="29" ht="15" hidden="0" customHeight="1">
      <x:c r="A29" s="29" t="str">
        <x:f>IF($B29&lt;&gt;"","SP-"&amp;TEXT(ROW()-4,"000"),"")</x:f>
      </x:c>
      <x:c r="B29" s="47"/>
      <x:c r="C29" s="47"/>
      <x:c r="D29" s="47"/>
      <x:c r="E29" s="47"/>
      <x:c r="F29" s="47"/>
      <x:c r="G29" s="47"/>
      <x:c r="H29" s="49"/>
      <x:c r="I29" s="49"/>
      <x:c r="J29" s="47"/>
      <x:c r="K29" s="56"/>
      <x:c r="L29" s="56"/>
      <x:c r="M29" s="56"/>
      <x:c r="N29" s="48"/>
      <x:c r="O29" s="49"/>
      <x:c r="P29" s="49"/>
      <x:c r="Q29" s="56"/>
    </x:row>
    <x:row r="30" ht="15" hidden="0" customHeight="1">
      <x:c r="A30" s="29" t="str">
        <x:f>IF($B30&lt;&gt;"","SP-"&amp;TEXT(ROW()-4,"000"),"")</x:f>
      </x:c>
      <x:c r="B30" s="47"/>
      <x:c r="C30" s="47"/>
      <x:c r="D30" s="47"/>
      <x:c r="E30" s="47"/>
      <x:c r="F30" s="47"/>
      <x:c r="G30" s="47"/>
      <x:c r="H30" s="49"/>
      <x:c r="I30" s="49"/>
      <x:c r="J30" s="47"/>
      <x:c r="K30" s="56"/>
      <x:c r="L30" s="56"/>
      <x:c r="M30" s="56"/>
      <x:c r="N30" s="48"/>
      <x:c r="O30" s="49"/>
      <x:c r="P30" s="49"/>
      <x:c r="Q30" s="56"/>
    </x:row>
    <x:row r="31" ht="15" hidden="0" customHeight="1">
      <x:c r="A31" s="29" t="str">
        <x:f>IF($B31&lt;&gt;"","SP-"&amp;TEXT(ROW()-4,"000"),"")</x:f>
      </x:c>
      <x:c r="B31" s="47"/>
      <x:c r="C31" s="47"/>
      <x:c r="D31" s="47"/>
      <x:c r="E31" s="47"/>
      <x:c r="F31" s="47"/>
      <x:c r="G31" s="47"/>
      <x:c r="H31" s="49"/>
      <x:c r="I31" s="49"/>
      <x:c r="J31" s="47"/>
      <x:c r="K31" s="56"/>
      <x:c r="L31" s="56"/>
      <x:c r="M31" s="56"/>
      <x:c r="N31" s="48"/>
      <x:c r="O31" s="49"/>
      <x:c r="P31" s="49"/>
      <x:c r="Q31" s="56"/>
    </x:row>
    <x:row r="32" ht="15" hidden="0" customHeight="1">
      <x:c r="A32" s="29" t="str">
        <x:f>IF($B32&lt;&gt;"","SP-"&amp;TEXT(ROW()-4,"000"),"")</x:f>
      </x:c>
      <x:c r="B32" s="47"/>
      <x:c r="C32" s="47"/>
      <x:c r="D32" s="47"/>
      <x:c r="E32" s="47"/>
      <x:c r="F32" s="47"/>
      <x:c r="G32" s="47"/>
      <x:c r="H32" s="49"/>
      <x:c r="I32" s="49"/>
      <x:c r="J32" s="47"/>
      <x:c r="K32" s="56"/>
      <x:c r="L32" s="56"/>
      <x:c r="M32" s="56"/>
      <x:c r="N32" s="48"/>
      <x:c r="O32" s="49"/>
      <x:c r="P32" s="49"/>
      <x:c r="Q32" s="56"/>
    </x:row>
    <x:row r="33" ht="15" hidden="0" customHeight="1">
      <x:c r="A33" s="29" t="str">
        <x:f>IF($B33&lt;&gt;"","SP-"&amp;TEXT(ROW()-4,"000"),"")</x:f>
      </x:c>
      <x:c r="B33" s="47"/>
      <x:c r="C33" s="47"/>
      <x:c r="D33" s="47"/>
      <x:c r="E33" s="47"/>
      <x:c r="F33" s="47"/>
      <x:c r="G33" s="47"/>
      <x:c r="H33" s="49"/>
      <x:c r="I33" s="49"/>
      <x:c r="J33" s="47"/>
      <x:c r="K33" s="56"/>
      <x:c r="L33" s="56"/>
      <x:c r="M33" s="56"/>
      <x:c r="N33" s="48"/>
      <x:c r="O33" s="49"/>
      <x:c r="P33" s="49"/>
      <x:c r="Q33" s="56"/>
    </x:row>
    <x:row r="34" ht="15" hidden="0" customHeight="1">
      <x:c r="A34" s="29" t="str">
        <x:f>IF($B34&lt;&gt;"","SP-"&amp;TEXT(ROW()-4,"000"),"")</x:f>
      </x:c>
      <x:c r="B34" s="47"/>
      <x:c r="C34" s="47"/>
      <x:c r="D34" s="47"/>
      <x:c r="E34" s="47"/>
      <x:c r="F34" s="47"/>
      <x:c r="G34" s="47"/>
      <x:c r="H34" s="49"/>
      <x:c r="I34" s="49"/>
      <x:c r="J34" s="47"/>
      <x:c r="K34" s="56"/>
      <x:c r="L34" s="56"/>
      <x:c r="M34" s="56"/>
      <x:c r="N34" s="48"/>
      <x:c r="O34" s="49"/>
      <x:c r="P34" s="49"/>
      <x:c r="Q34" s="56"/>
    </x:row>
    <x:row r="35" ht="15" hidden="0" customHeight="1">
      <x:c r="A35" s="29" t="str">
        <x:f>IF($B35&lt;&gt;"","SP-"&amp;TEXT(ROW()-4,"000"),"")</x:f>
      </x:c>
      <x:c r="B35" s="47"/>
      <x:c r="C35" s="47"/>
      <x:c r="D35" s="47"/>
      <x:c r="E35" s="47"/>
      <x:c r="F35" s="47"/>
      <x:c r="G35" s="47"/>
      <x:c r="H35" s="49"/>
      <x:c r="I35" s="49"/>
      <x:c r="J35" s="47"/>
      <x:c r="K35" s="56"/>
      <x:c r="L35" s="56"/>
      <x:c r="M35" s="56"/>
      <x:c r="N35" s="48"/>
      <x:c r="O35" s="49"/>
      <x:c r="P35" s="49"/>
      <x:c r="Q35" s="56"/>
    </x:row>
    <x:row r="36" ht="15" hidden="0" customHeight="1">
      <x:c r="A36" s="29" t="str">
        <x:f>IF($B36&lt;&gt;"","SP-"&amp;TEXT(ROW()-4,"000"),"")</x:f>
      </x:c>
      <x:c r="B36" s="47"/>
      <x:c r="C36" s="47"/>
      <x:c r="D36" s="47"/>
      <x:c r="E36" s="47"/>
      <x:c r="F36" s="47"/>
      <x:c r="G36" s="47"/>
      <x:c r="H36" s="49"/>
      <x:c r="I36" s="49"/>
      <x:c r="J36" s="47"/>
      <x:c r="K36" s="56"/>
      <x:c r="L36" s="56"/>
      <x:c r="M36" s="56"/>
      <x:c r="N36" s="48"/>
      <x:c r="O36" s="49"/>
      <x:c r="P36" s="49"/>
      <x:c r="Q36" s="56"/>
    </x:row>
    <x:row r="37" ht="15" hidden="0" customHeight="1">
      <x:c r="A37" s="29" t="str">
        <x:f>IF($B37&lt;&gt;"","SP-"&amp;TEXT(ROW()-4,"000"),"")</x:f>
      </x:c>
      <x:c r="B37" s="47"/>
      <x:c r="C37" s="47"/>
      <x:c r="D37" s="47"/>
      <x:c r="E37" s="47"/>
      <x:c r="F37" s="47"/>
      <x:c r="G37" s="47"/>
      <x:c r="H37" s="49"/>
      <x:c r="I37" s="49"/>
      <x:c r="J37" s="47"/>
      <x:c r="K37" s="56"/>
      <x:c r="L37" s="56"/>
      <x:c r="M37" s="56"/>
      <x:c r="N37" s="48"/>
      <x:c r="O37" s="49"/>
      <x:c r="P37" s="49"/>
      <x:c r="Q37" s="56"/>
    </x:row>
    <x:row r="38" ht="15" hidden="0" customHeight="1">
      <x:c r="A38" s="29" t="str">
        <x:f>IF($B38&lt;&gt;"","SP-"&amp;TEXT(ROW()-4,"000"),"")</x:f>
      </x:c>
      <x:c r="B38" s="47"/>
      <x:c r="C38" s="47"/>
      <x:c r="D38" s="47"/>
      <x:c r="E38" s="47"/>
      <x:c r="F38" s="47"/>
      <x:c r="G38" s="47"/>
      <x:c r="H38" s="49"/>
      <x:c r="I38" s="49"/>
      <x:c r="J38" s="47"/>
      <x:c r="K38" s="56"/>
      <x:c r="L38" s="56"/>
      <x:c r="M38" s="56"/>
      <x:c r="N38" s="48"/>
      <x:c r="O38" s="49"/>
      <x:c r="P38" s="49"/>
      <x:c r="Q38" s="56"/>
    </x:row>
    <x:row r="39" ht="15" hidden="0" customHeight="1">
      <x:c r="A39" s="29" t="str">
        <x:f>IF($B39&lt;&gt;"","SP-"&amp;TEXT(ROW()-4,"000"),"")</x:f>
      </x:c>
      <x:c r="B39" s="47"/>
      <x:c r="C39" s="47"/>
      <x:c r="D39" s="47"/>
      <x:c r="E39" s="47"/>
      <x:c r="F39" s="47"/>
      <x:c r="G39" s="47"/>
      <x:c r="H39" s="49"/>
      <x:c r="I39" s="49"/>
      <x:c r="J39" s="47"/>
      <x:c r="K39" s="56"/>
      <x:c r="L39" s="56"/>
      <x:c r="M39" s="56"/>
      <x:c r="N39" s="48"/>
      <x:c r="O39" s="49"/>
      <x:c r="P39" s="49"/>
      <x:c r="Q39" s="56"/>
    </x:row>
    <x:row r="40" ht="15" hidden="0" customHeight="1">
      <x:c r="A40" s="29" t="str">
        <x:f>IF($B40&lt;&gt;"","SP-"&amp;TEXT(ROW()-4,"000"),"")</x:f>
      </x:c>
      <x:c r="B40" s="47"/>
      <x:c r="C40" s="47"/>
      <x:c r="D40" s="47"/>
      <x:c r="E40" s="47"/>
      <x:c r="F40" s="47"/>
      <x:c r="G40" s="47"/>
      <x:c r="H40" s="49"/>
      <x:c r="I40" s="49"/>
      <x:c r="J40" s="47"/>
      <x:c r="K40" s="56"/>
      <x:c r="L40" s="56"/>
      <x:c r="M40" s="56"/>
      <x:c r="N40" s="48"/>
      <x:c r="O40" s="49"/>
      <x:c r="P40" s="49"/>
      <x:c r="Q40" s="56"/>
    </x:row>
    <x:row r="41" ht="15" hidden="0" customHeight="1">
      <x:c r="A41" s="29" t="str">
        <x:f>IF($B41&lt;&gt;"","SP-"&amp;TEXT(ROW()-4,"000"),"")</x:f>
      </x:c>
      <x:c r="B41" s="47"/>
      <x:c r="C41" s="47"/>
      <x:c r="D41" s="47"/>
      <x:c r="E41" s="47"/>
      <x:c r="F41" s="47"/>
      <x:c r="G41" s="47"/>
      <x:c r="H41" s="49"/>
      <x:c r="I41" s="49"/>
      <x:c r="J41" s="47"/>
      <x:c r="K41" s="56"/>
      <x:c r="L41" s="56"/>
      <x:c r="M41" s="56"/>
      <x:c r="N41" s="48"/>
      <x:c r="O41" s="49"/>
      <x:c r="P41" s="49"/>
      <x:c r="Q41" s="56"/>
    </x:row>
    <x:row r="42" ht="15" hidden="0" customHeight="1">
      <x:c r="A42" s="29" t="str">
        <x:f>IF($B42&lt;&gt;"","SP-"&amp;TEXT(ROW()-4,"000"),"")</x:f>
      </x:c>
      <x:c r="B42" s="47"/>
      <x:c r="C42" s="47"/>
      <x:c r="D42" s="47"/>
      <x:c r="E42" s="47"/>
      <x:c r="F42" s="47"/>
      <x:c r="G42" s="47"/>
      <x:c r="H42" s="49"/>
      <x:c r="I42" s="49"/>
      <x:c r="J42" s="47"/>
      <x:c r="K42" s="56"/>
      <x:c r="L42" s="56"/>
      <x:c r="M42" s="56"/>
      <x:c r="N42" s="48"/>
      <x:c r="O42" s="49"/>
      <x:c r="P42" s="49"/>
      <x:c r="Q42" s="56"/>
    </x:row>
    <x:row r="43" ht="15" hidden="0" customHeight="1">
      <x:c r="A43" s="29" t="str">
        <x:f>IF($B43&lt;&gt;"","SP-"&amp;TEXT(ROW()-4,"000"),"")</x:f>
      </x:c>
      <x:c r="B43" s="47"/>
      <x:c r="C43" s="47"/>
      <x:c r="D43" s="47"/>
      <x:c r="E43" s="47"/>
      <x:c r="F43" s="47"/>
      <x:c r="G43" s="47"/>
      <x:c r="H43" s="49"/>
      <x:c r="I43" s="49"/>
      <x:c r="J43" s="47"/>
      <x:c r="K43" s="56"/>
      <x:c r="L43" s="56"/>
      <x:c r="M43" s="56"/>
      <x:c r="N43" s="48"/>
      <x:c r="O43" s="49"/>
      <x:c r="P43" s="49"/>
      <x:c r="Q43" s="56"/>
    </x:row>
    <x:row r="44" ht="15" hidden="0" customHeight="1">
      <x:c r="A44" s="29" t="str">
        <x:f>IF($B44&lt;&gt;"","SP-"&amp;TEXT(ROW()-4,"000"),"")</x:f>
      </x:c>
      <x:c r="B44" s="47"/>
      <x:c r="C44" s="47"/>
      <x:c r="D44" s="47"/>
      <x:c r="E44" s="47"/>
      <x:c r="F44" s="47"/>
      <x:c r="G44" s="47"/>
      <x:c r="H44" s="49"/>
      <x:c r="I44" s="49"/>
      <x:c r="J44" s="47"/>
      <x:c r="K44" s="56"/>
      <x:c r="L44" s="56"/>
      <x:c r="M44" s="56"/>
      <x:c r="N44" s="48"/>
      <x:c r="O44" s="49"/>
      <x:c r="P44" s="49"/>
      <x:c r="Q44" s="56"/>
    </x:row>
    <x:row r="45" ht="15" hidden="0" customHeight="1">
      <x:c r="A45" s="29" t="str">
        <x:f>IF($B45&lt;&gt;"","SP-"&amp;TEXT(ROW()-4,"000"),"")</x:f>
      </x:c>
      <x:c r="B45" s="47"/>
      <x:c r="C45" s="47"/>
      <x:c r="D45" s="47"/>
      <x:c r="E45" s="47"/>
      <x:c r="F45" s="47"/>
      <x:c r="G45" s="47"/>
      <x:c r="H45" s="49"/>
      <x:c r="I45" s="49"/>
      <x:c r="J45" s="47"/>
      <x:c r="K45" s="56"/>
      <x:c r="L45" s="56"/>
      <x:c r="M45" s="56"/>
      <x:c r="N45" s="48"/>
      <x:c r="O45" s="49"/>
      <x:c r="P45" s="49"/>
      <x:c r="Q45" s="56"/>
    </x:row>
    <x:row r="46" ht="15" hidden="0" customHeight="1">
      <x:c r="A46" s="29" t="str">
        <x:f>IF($B46&lt;&gt;"","SP-"&amp;TEXT(ROW()-4,"000"),"")</x:f>
      </x:c>
      <x:c r="B46" s="47"/>
      <x:c r="C46" s="47"/>
      <x:c r="D46" s="47"/>
      <x:c r="E46" s="47"/>
      <x:c r="F46" s="47"/>
      <x:c r="G46" s="47"/>
      <x:c r="H46" s="49"/>
      <x:c r="I46" s="49"/>
      <x:c r="J46" s="47"/>
      <x:c r="K46" s="56"/>
      <x:c r="L46" s="56"/>
      <x:c r="M46" s="56"/>
      <x:c r="N46" s="48"/>
      <x:c r="O46" s="49"/>
      <x:c r="P46" s="49"/>
      <x:c r="Q46" s="56"/>
    </x:row>
    <x:row r="47" ht="15" hidden="0" customHeight="1">
      <x:c r="A47" s="29" t="str">
        <x:f>IF($B47&lt;&gt;"","SP-"&amp;TEXT(ROW()-4,"000"),"")</x:f>
      </x:c>
      <x:c r="B47" s="47"/>
      <x:c r="C47" s="47"/>
      <x:c r="D47" s="47"/>
      <x:c r="E47" s="47"/>
      <x:c r="F47" s="47"/>
      <x:c r="G47" s="47"/>
      <x:c r="H47" s="49"/>
      <x:c r="I47" s="49"/>
      <x:c r="J47" s="47"/>
      <x:c r="K47" s="56"/>
      <x:c r="L47" s="56"/>
      <x:c r="M47" s="56"/>
      <x:c r="N47" s="48"/>
      <x:c r="O47" s="49"/>
      <x:c r="P47" s="49"/>
      <x:c r="Q47" s="56"/>
    </x:row>
    <x:row r="48" ht="15" hidden="0" customHeight="1">
      <x:c r="A48" s="29" t="str">
        <x:f>IF($B48&lt;&gt;"","SP-"&amp;TEXT(ROW()-4,"000"),"")</x:f>
      </x:c>
      <x:c r="B48" s="47"/>
      <x:c r="C48" s="47"/>
      <x:c r="D48" s="47"/>
      <x:c r="E48" s="47"/>
      <x:c r="F48" s="47"/>
      <x:c r="G48" s="47"/>
      <x:c r="H48" s="49"/>
      <x:c r="I48" s="49"/>
      <x:c r="J48" s="47"/>
      <x:c r="K48" s="56"/>
      <x:c r="L48" s="56"/>
      <x:c r="M48" s="56"/>
      <x:c r="N48" s="48"/>
      <x:c r="O48" s="49"/>
      <x:c r="P48" s="49"/>
      <x:c r="Q48" s="56"/>
    </x:row>
    <x:row r="49" ht="15" hidden="0" customHeight="1">
      <x:c r="A49" s="29" t="str">
        <x:f>IF($B49&lt;&gt;"","SP-"&amp;TEXT(ROW()-4,"000"),"")</x:f>
      </x:c>
      <x:c r="B49" s="47"/>
      <x:c r="C49" s="47"/>
      <x:c r="D49" s="47"/>
      <x:c r="E49" s="47"/>
      <x:c r="F49" s="47"/>
      <x:c r="G49" s="47"/>
      <x:c r="H49" s="49"/>
      <x:c r="I49" s="49"/>
      <x:c r="J49" s="47"/>
      <x:c r="K49" s="56"/>
      <x:c r="L49" s="56"/>
      <x:c r="M49" s="56"/>
      <x:c r="N49" s="48"/>
      <x:c r="O49" s="49"/>
      <x:c r="P49" s="49"/>
      <x:c r="Q49" s="56"/>
    </x:row>
    <x:row r="50" ht="15" hidden="0" customHeight="1">
      <x:c r="A50" s="29" t="str">
        <x:f>IF($B50&lt;&gt;"","SP-"&amp;TEXT(ROW()-4,"000"),"")</x:f>
      </x:c>
      <x:c r="B50" s="47"/>
      <x:c r="C50" s="47"/>
      <x:c r="D50" s="47"/>
      <x:c r="E50" s="47"/>
      <x:c r="F50" s="47"/>
      <x:c r="G50" s="47"/>
      <x:c r="H50" s="49"/>
      <x:c r="I50" s="49"/>
      <x:c r="J50" s="47"/>
      <x:c r="K50" s="56"/>
      <x:c r="L50" s="56"/>
      <x:c r="M50" s="56"/>
      <x:c r="N50" s="48"/>
      <x:c r="O50" s="49"/>
      <x:c r="P50" s="49"/>
      <x:c r="Q50" s="56"/>
    </x:row>
    <x:row r="51" ht="15" hidden="0" customHeight="1">
      <x:c r="A51" s="29" t="str">
        <x:f>IF($B51&lt;&gt;"","SP-"&amp;TEXT(ROW()-4,"000"),"")</x:f>
      </x:c>
      <x:c r="B51" s="47"/>
      <x:c r="C51" s="47"/>
      <x:c r="D51" s="47"/>
      <x:c r="E51" s="47"/>
      <x:c r="F51" s="47"/>
      <x:c r="G51" s="47"/>
      <x:c r="H51" s="49"/>
      <x:c r="I51" s="49"/>
      <x:c r="J51" s="47"/>
      <x:c r="K51" s="56"/>
      <x:c r="L51" s="56"/>
      <x:c r="M51" s="56"/>
      <x:c r="N51" s="48"/>
      <x:c r="O51" s="49"/>
      <x:c r="P51" s="49"/>
      <x:c r="Q51" s="56"/>
    </x:row>
    <x:row r="52" ht="15" hidden="0" customHeight="1">
      <x:c r="A52" s="29" t="str">
        <x:f>IF($B52&lt;&gt;"","SP-"&amp;TEXT(ROW()-4,"000"),"")</x:f>
      </x:c>
      <x:c r="B52" s="47"/>
      <x:c r="C52" s="47"/>
      <x:c r="D52" s="47"/>
      <x:c r="E52" s="47"/>
      <x:c r="F52" s="47"/>
      <x:c r="G52" s="47"/>
      <x:c r="H52" s="49"/>
      <x:c r="I52" s="49"/>
      <x:c r="J52" s="47"/>
      <x:c r="K52" s="56"/>
      <x:c r="L52" s="56"/>
      <x:c r="M52" s="56"/>
      <x:c r="N52" s="48"/>
      <x:c r="O52" s="49"/>
      <x:c r="P52" s="49"/>
      <x:c r="Q52" s="56"/>
    </x:row>
    <x:row r="53" ht="15" hidden="0" customHeight="1">
      <x:c r="A53" s="29" t="str">
        <x:f>IF($B53&lt;&gt;"","SP-"&amp;TEXT(ROW()-4,"000"),"")</x:f>
      </x:c>
      <x:c r="B53" s="47"/>
      <x:c r="C53" s="47"/>
      <x:c r="D53" s="47"/>
      <x:c r="E53" s="47"/>
      <x:c r="F53" s="47"/>
      <x:c r="G53" s="47"/>
      <x:c r="H53" s="49"/>
      <x:c r="I53" s="49"/>
      <x:c r="J53" s="47"/>
      <x:c r="K53" s="56"/>
      <x:c r="L53" s="56"/>
      <x:c r="M53" s="56"/>
      <x:c r="N53" s="48"/>
      <x:c r="O53" s="49"/>
      <x:c r="P53" s="49"/>
      <x:c r="Q53" s="56"/>
    </x:row>
    <x:row r="54" ht="15" hidden="0" customHeight="1">
      <x:c r="A54" s="29" t="str">
        <x:f>IF($B54&lt;&gt;"","SP-"&amp;TEXT(ROW()-4,"000"),"")</x:f>
      </x:c>
      <x:c r="B54" s="47"/>
      <x:c r="C54" s="47"/>
      <x:c r="D54" s="47"/>
      <x:c r="E54" s="47"/>
      <x:c r="F54" s="47"/>
      <x:c r="G54" s="47"/>
      <x:c r="H54" s="49"/>
      <x:c r="I54" s="49"/>
      <x:c r="J54" s="47"/>
      <x:c r="K54" s="56"/>
      <x:c r="L54" s="56"/>
      <x:c r="M54" s="56"/>
      <x:c r="N54" s="48"/>
      <x:c r="O54" s="49"/>
      <x:c r="P54" s="49"/>
      <x:c r="Q54" s="56"/>
    </x:row>
    <x:row r="55" ht="15" hidden="0" customHeight="1">
      <x:c r="A55" s="29" t="str">
        <x:f>IF($B55&lt;&gt;"","SP-"&amp;TEXT(ROW()-4,"000"),"")</x:f>
      </x:c>
      <x:c r="B55" s="47"/>
      <x:c r="C55" s="47"/>
      <x:c r="D55" s="47"/>
      <x:c r="E55" s="47"/>
      <x:c r="F55" s="47"/>
      <x:c r="G55" s="47"/>
      <x:c r="H55" s="49"/>
      <x:c r="I55" s="49"/>
      <x:c r="J55" s="47"/>
      <x:c r="K55" s="56"/>
      <x:c r="L55" s="56"/>
      <x:c r="M55" s="56"/>
      <x:c r="N55" s="48"/>
      <x:c r="O55" s="49"/>
      <x:c r="P55" s="49"/>
      <x:c r="Q55" s="56"/>
    </x:row>
    <x:row r="56" ht="15" hidden="0" customHeight="1">
      <x:c r="A56" s="29" t="str">
        <x:f>IF($B56&lt;&gt;"","SP-"&amp;TEXT(ROW()-4,"000"),"")</x:f>
      </x:c>
      <x:c r="B56" s="47"/>
      <x:c r="C56" s="47"/>
      <x:c r="D56" s="47"/>
      <x:c r="E56" s="47"/>
      <x:c r="F56" s="47"/>
      <x:c r="G56" s="47"/>
      <x:c r="H56" s="49"/>
      <x:c r="I56" s="49"/>
      <x:c r="J56" s="47"/>
      <x:c r="K56" s="56"/>
      <x:c r="L56" s="56"/>
      <x:c r="M56" s="56"/>
      <x:c r="N56" s="48"/>
      <x:c r="O56" s="49"/>
      <x:c r="P56" s="49"/>
      <x:c r="Q56" s="56"/>
    </x:row>
    <x:row r="57" ht="15" hidden="0" customHeight="1">
      <x:c r="A57" s="29" t="str">
        <x:f>IF($B57&lt;&gt;"","SP-"&amp;TEXT(ROW()-4,"000"),"")</x:f>
      </x:c>
      <x:c r="B57" s="47"/>
      <x:c r="C57" s="47"/>
      <x:c r="D57" s="47"/>
      <x:c r="E57" s="47"/>
      <x:c r="F57" s="47"/>
      <x:c r="G57" s="47"/>
      <x:c r="H57" s="49"/>
      <x:c r="I57" s="49"/>
      <x:c r="J57" s="47"/>
      <x:c r="K57" s="56"/>
      <x:c r="L57" s="56"/>
      <x:c r="M57" s="56"/>
      <x:c r="N57" s="48"/>
      <x:c r="O57" s="49"/>
      <x:c r="P57" s="49"/>
      <x:c r="Q57" s="56"/>
    </x:row>
    <x:row r="58" ht="15" hidden="0" customHeight="1">
      <x:c r="A58" s="29" t="str">
        <x:f>IF($B58&lt;&gt;"","SP-"&amp;TEXT(ROW()-4,"000"),"")</x:f>
      </x:c>
      <x:c r="B58" s="47"/>
      <x:c r="C58" s="47"/>
      <x:c r="D58" s="47"/>
      <x:c r="E58" s="47"/>
      <x:c r="F58" s="47"/>
      <x:c r="G58" s="47"/>
      <x:c r="H58" s="49"/>
      <x:c r="I58" s="49"/>
      <x:c r="J58" s="47"/>
      <x:c r="K58" s="56"/>
      <x:c r="L58" s="56"/>
      <x:c r="M58" s="56"/>
      <x:c r="N58" s="48"/>
      <x:c r="O58" s="49"/>
      <x:c r="P58" s="49"/>
      <x:c r="Q58" s="56"/>
    </x:row>
    <x:row r="59" ht="15" hidden="0" customHeight="1">
      <x:c r="A59" s="29" t="str">
        <x:f>IF($B59&lt;&gt;"","SP-"&amp;TEXT(ROW()-4,"000"),"")</x:f>
      </x:c>
      <x:c r="B59" s="47"/>
      <x:c r="C59" s="47"/>
      <x:c r="D59" s="47"/>
      <x:c r="E59" s="47"/>
      <x:c r="F59" s="47"/>
      <x:c r="G59" s="47"/>
      <x:c r="H59" s="49"/>
      <x:c r="I59" s="49"/>
      <x:c r="J59" s="47"/>
      <x:c r="K59" s="56"/>
      <x:c r="L59" s="56"/>
      <x:c r="M59" s="56"/>
      <x:c r="N59" s="48"/>
      <x:c r="O59" s="49"/>
      <x:c r="P59" s="49"/>
      <x:c r="Q59" s="56"/>
    </x:row>
    <x:row r="60" ht="15" hidden="0" customHeight="1">
      <x:c r="A60" s="29" t="str">
        <x:f>IF($B60&lt;&gt;"","SP-"&amp;TEXT(ROW()-4,"000"),"")</x:f>
      </x:c>
      <x:c r="B60" s="47"/>
      <x:c r="C60" s="47"/>
      <x:c r="D60" s="47"/>
      <x:c r="E60" s="47"/>
      <x:c r="F60" s="47"/>
      <x:c r="G60" s="47"/>
      <x:c r="H60" s="49"/>
      <x:c r="I60" s="49"/>
      <x:c r="J60" s="47"/>
      <x:c r="K60" s="56"/>
      <x:c r="L60" s="56"/>
      <x:c r="M60" s="56"/>
      <x:c r="N60" s="48"/>
      <x:c r="O60" s="49"/>
      <x:c r="P60" s="49"/>
      <x:c r="Q60" s="56"/>
    </x:row>
    <x:row r="61" ht="15" hidden="0" customHeight="1">
      <x:c r="A61" s="29" t="str">
        <x:f>IF($B61&lt;&gt;"","SP-"&amp;TEXT(ROW()-4,"000"),"")</x:f>
      </x:c>
      <x:c r="B61" s="47"/>
      <x:c r="C61" s="47"/>
      <x:c r="D61" s="47"/>
      <x:c r="E61" s="47"/>
      <x:c r="F61" s="47"/>
      <x:c r="G61" s="47"/>
      <x:c r="H61" s="49"/>
      <x:c r="I61" s="49"/>
      <x:c r="J61" s="47"/>
      <x:c r="K61" s="56"/>
      <x:c r="L61" s="56"/>
      <x:c r="M61" s="56"/>
      <x:c r="N61" s="48"/>
      <x:c r="O61" s="49"/>
      <x:c r="P61" s="49"/>
      <x:c r="Q61" s="56"/>
    </x:row>
    <x:row r="62" ht="15" hidden="0" customHeight="1">
      <x:c r="A62" s="29" t="str">
        <x:f>IF($B62&lt;&gt;"","SP-"&amp;TEXT(ROW()-4,"000"),"")</x:f>
      </x:c>
      <x:c r="B62" s="47"/>
      <x:c r="C62" s="47"/>
      <x:c r="D62" s="47"/>
      <x:c r="E62" s="47"/>
      <x:c r="F62" s="47"/>
      <x:c r="G62" s="47"/>
      <x:c r="H62" s="49"/>
      <x:c r="I62" s="49"/>
      <x:c r="J62" s="47"/>
      <x:c r="K62" s="56"/>
      <x:c r="L62" s="56"/>
      <x:c r="M62" s="56"/>
      <x:c r="N62" s="48"/>
      <x:c r="O62" s="49"/>
      <x:c r="P62" s="49"/>
      <x:c r="Q62" s="56"/>
    </x:row>
    <x:row r="63" ht="15" hidden="0" customHeight="1">
      <x:c r="A63" s="29" t="str">
        <x:f>IF($B63&lt;&gt;"","SP-"&amp;TEXT(ROW()-4,"000"),"")</x:f>
      </x:c>
      <x:c r="B63" s="47"/>
      <x:c r="C63" s="47"/>
      <x:c r="D63" s="47"/>
      <x:c r="E63" s="47"/>
      <x:c r="F63" s="47"/>
      <x:c r="G63" s="47"/>
      <x:c r="H63" s="49"/>
      <x:c r="I63" s="49"/>
      <x:c r="J63" s="47"/>
      <x:c r="K63" s="56"/>
      <x:c r="L63" s="56"/>
      <x:c r="M63" s="56"/>
      <x:c r="N63" s="48"/>
      <x:c r="O63" s="49"/>
      <x:c r="P63" s="49"/>
      <x:c r="Q63" s="56"/>
    </x:row>
    <x:row r="64" ht="15" hidden="0" customHeight="1">
      <x:c r="A64" s="29" t="str">
        <x:f>IF($B64&lt;&gt;"","SP-"&amp;TEXT(ROW()-4,"000"),"")</x:f>
      </x:c>
      <x:c r="B64" s="47"/>
      <x:c r="C64" s="47"/>
      <x:c r="D64" s="47"/>
      <x:c r="E64" s="47"/>
      <x:c r="F64" s="47"/>
      <x:c r="G64" s="47"/>
      <x:c r="H64" s="49"/>
      <x:c r="I64" s="49"/>
      <x:c r="J64" s="47"/>
      <x:c r="K64" s="56"/>
      <x:c r="L64" s="56"/>
      <x:c r="M64" s="56"/>
      <x:c r="N64" s="48"/>
      <x:c r="O64" s="49"/>
      <x:c r="P64" s="49"/>
      <x:c r="Q64" s="56"/>
    </x:row>
    <x:row r="65" ht="15" hidden="0" customHeight="1">
      <x:c r="A65" s="29" t="str">
        <x:f>IF($B65&lt;&gt;"","SP-"&amp;TEXT(ROW()-4,"000"),"")</x:f>
      </x:c>
      <x:c r="B65" s="47"/>
      <x:c r="C65" s="47"/>
      <x:c r="D65" s="47"/>
      <x:c r="E65" s="47"/>
      <x:c r="F65" s="47"/>
      <x:c r="G65" s="47"/>
      <x:c r="H65" s="49"/>
      <x:c r="I65" s="49"/>
      <x:c r="J65" s="47"/>
      <x:c r="K65" s="56"/>
      <x:c r="L65" s="56"/>
      <x:c r="M65" s="56"/>
      <x:c r="N65" s="48"/>
      <x:c r="O65" s="49"/>
      <x:c r="P65" s="49"/>
      <x:c r="Q65" s="56"/>
    </x:row>
    <x:row r="66" ht="15" hidden="0" customHeight="1">
      <x:c r="A66" s="29" t="str">
        <x:f>IF($B66&lt;&gt;"","SP-"&amp;TEXT(ROW()-4,"000"),"")</x:f>
      </x:c>
      <x:c r="B66" s="47"/>
      <x:c r="C66" s="47"/>
      <x:c r="D66" s="47"/>
      <x:c r="E66" s="47"/>
      <x:c r="F66" s="47"/>
      <x:c r="G66" s="47"/>
      <x:c r="H66" s="49"/>
      <x:c r="I66" s="49"/>
      <x:c r="J66" s="47"/>
      <x:c r="K66" s="56"/>
      <x:c r="L66" s="56"/>
      <x:c r="M66" s="56"/>
      <x:c r="N66" s="48"/>
      <x:c r="O66" s="49"/>
      <x:c r="P66" s="49"/>
      <x:c r="Q66" s="56"/>
    </x:row>
    <x:row r="67" ht="15" hidden="0" customHeight="1">
      <x:c r="A67" s="29" t="str">
        <x:f>IF($B67&lt;&gt;"","SP-"&amp;TEXT(ROW()-4,"000"),"")</x:f>
      </x:c>
      <x:c r="B67" s="47"/>
      <x:c r="C67" s="47"/>
      <x:c r="D67" s="47"/>
      <x:c r="E67" s="47"/>
      <x:c r="F67" s="47"/>
      <x:c r="G67" s="47"/>
      <x:c r="H67" s="49"/>
      <x:c r="I67" s="49"/>
      <x:c r="J67" s="47"/>
      <x:c r="K67" s="56"/>
      <x:c r="L67" s="56"/>
      <x:c r="M67" s="56"/>
      <x:c r="N67" s="48"/>
      <x:c r="O67" s="49"/>
      <x:c r="P67" s="49"/>
      <x:c r="Q67" s="56"/>
    </x:row>
    <x:row r="68" ht="15" hidden="0" customHeight="1">
      <x:c r="A68" s="29" t="str">
        <x:f>IF($B68&lt;&gt;"","SP-"&amp;TEXT(ROW()-4,"000"),"")</x:f>
      </x:c>
      <x:c r="B68" s="47"/>
      <x:c r="C68" s="47"/>
      <x:c r="D68" s="47"/>
      <x:c r="E68" s="47"/>
      <x:c r="F68" s="47"/>
      <x:c r="G68" s="47"/>
      <x:c r="H68" s="49"/>
      <x:c r="I68" s="49"/>
      <x:c r="J68" s="47"/>
      <x:c r="K68" s="56"/>
      <x:c r="L68" s="56"/>
      <x:c r="M68" s="56"/>
      <x:c r="N68" s="48"/>
      <x:c r="O68" s="49"/>
      <x:c r="P68" s="49"/>
      <x:c r="Q68" s="56"/>
    </x:row>
    <x:row r="69" ht="15" hidden="0" customHeight="1">
      <x:c r="A69" s="29" t="str">
        <x:f>IF($B69&lt;&gt;"","SP-"&amp;TEXT(ROW()-4,"000"),"")</x:f>
      </x:c>
      <x:c r="B69" s="47"/>
      <x:c r="C69" s="47"/>
      <x:c r="D69" s="47"/>
      <x:c r="E69" s="47"/>
      <x:c r="F69" s="47"/>
      <x:c r="G69" s="47"/>
      <x:c r="H69" s="49"/>
      <x:c r="I69" s="49"/>
      <x:c r="J69" s="47"/>
      <x:c r="K69" s="56"/>
      <x:c r="L69" s="56"/>
      <x:c r="M69" s="56"/>
      <x:c r="N69" s="48"/>
      <x:c r="O69" s="49"/>
      <x:c r="P69" s="49"/>
      <x:c r="Q69" s="56"/>
    </x:row>
    <x:row r="70" ht="15" hidden="0" customHeight="1">
      <x:c r="A70" s="29" t="str">
        <x:f>IF($B70&lt;&gt;"","SP-"&amp;TEXT(ROW()-4,"000"),"")</x:f>
      </x:c>
      <x:c r="B70" s="47"/>
      <x:c r="C70" s="47"/>
      <x:c r="D70" s="47"/>
      <x:c r="E70" s="47"/>
      <x:c r="F70" s="47"/>
      <x:c r="G70" s="47"/>
      <x:c r="H70" s="49"/>
      <x:c r="I70" s="49"/>
      <x:c r="J70" s="47"/>
      <x:c r="K70" s="56"/>
      <x:c r="L70" s="56"/>
      <x:c r="M70" s="56"/>
      <x:c r="N70" s="48"/>
      <x:c r="O70" s="49"/>
      <x:c r="P70" s="49"/>
      <x:c r="Q70" s="56"/>
    </x:row>
    <x:row r="71" ht="15" hidden="0" customHeight="1">
      <x:c r="A71" s="29" t="str">
        <x:f>IF($B71&lt;&gt;"","SP-"&amp;TEXT(ROW()-4,"000"),"")</x:f>
      </x:c>
      <x:c r="B71" s="47"/>
      <x:c r="C71" s="47"/>
      <x:c r="D71" s="47"/>
      <x:c r="E71" s="47"/>
      <x:c r="F71" s="47"/>
      <x:c r="G71" s="47"/>
      <x:c r="H71" s="49"/>
      <x:c r="I71" s="49"/>
      <x:c r="J71" s="47"/>
      <x:c r="K71" s="56"/>
      <x:c r="L71" s="56"/>
      <x:c r="M71" s="56"/>
      <x:c r="N71" s="48"/>
      <x:c r="O71" s="49"/>
      <x:c r="P71" s="49"/>
      <x:c r="Q71" s="56"/>
    </x:row>
    <x:row r="72" ht="15" hidden="0" customHeight="1">
      <x:c r="A72" s="29" t="str">
        <x:f>IF($B72&lt;&gt;"","SP-"&amp;TEXT(ROW()-4,"000"),"")</x:f>
      </x:c>
      <x:c r="B72" s="47"/>
      <x:c r="C72" s="47"/>
      <x:c r="D72" s="47"/>
      <x:c r="E72" s="47"/>
      <x:c r="F72" s="47"/>
      <x:c r="G72" s="47"/>
      <x:c r="H72" s="49"/>
      <x:c r="I72" s="49"/>
      <x:c r="J72" s="47"/>
      <x:c r="K72" s="56"/>
      <x:c r="L72" s="56"/>
      <x:c r="M72" s="56"/>
      <x:c r="N72" s="48"/>
      <x:c r="O72" s="49"/>
      <x:c r="P72" s="49"/>
      <x:c r="Q72" s="56"/>
    </x:row>
    <x:row r="73" ht="15" hidden="0" customHeight="1">
      <x:c r="A73" s="29" t="str">
        <x:f>IF($B73&lt;&gt;"","SP-"&amp;TEXT(ROW()-4,"000"),"")</x:f>
      </x:c>
      <x:c r="B73" s="47"/>
      <x:c r="C73" s="47"/>
      <x:c r="D73" s="47"/>
      <x:c r="E73" s="47"/>
      <x:c r="F73" s="47"/>
      <x:c r="G73" s="47"/>
      <x:c r="H73" s="49"/>
      <x:c r="I73" s="49"/>
      <x:c r="J73" s="47"/>
      <x:c r="K73" s="56"/>
      <x:c r="L73" s="56"/>
      <x:c r="M73" s="56"/>
      <x:c r="N73" s="48"/>
      <x:c r="O73" s="49"/>
      <x:c r="P73" s="49"/>
      <x:c r="Q73" s="56"/>
    </x:row>
    <x:row r="74" ht="15" hidden="0" customHeight="1">
      <x:c r="A74" s="29" t="str">
        <x:f>IF($B74&lt;&gt;"","SP-"&amp;TEXT(ROW()-4,"000"),"")</x:f>
      </x:c>
      <x:c r="B74" s="47"/>
      <x:c r="C74" s="47"/>
      <x:c r="D74" s="47"/>
      <x:c r="E74" s="47"/>
      <x:c r="F74" s="47"/>
      <x:c r="G74" s="47"/>
      <x:c r="H74" s="49"/>
      <x:c r="I74" s="49"/>
      <x:c r="J74" s="47"/>
      <x:c r="K74" s="56"/>
      <x:c r="L74" s="56"/>
      <x:c r="M74" s="56"/>
      <x:c r="N74" s="48"/>
      <x:c r="O74" s="49"/>
      <x:c r="P74" s="49"/>
      <x:c r="Q74" s="56"/>
    </x:row>
    <x:row r="75" ht="15" hidden="0" customHeight="1">
      <x:c r="A75" s="29" t="str">
        <x:f>IF($B75&lt;&gt;"","SP-"&amp;TEXT(ROW()-4,"000"),"")</x:f>
      </x:c>
      <x:c r="B75" s="47"/>
      <x:c r="C75" s="47"/>
      <x:c r="D75" s="47"/>
      <x:c r="E75" s="47"/>
      <x:c r="F75" s="47"/>
      <x:c r="G75" s="47"/>
      <x:c r="H75" s="49"/>
      <x:c r="I75" s="49"/>
      <x:c r="J75" s="47"/>
      <x:c r="K75" s="56"/>
      <x:c r="L75" s="56"/>
      <x:c r="M75" s="56"/>
      <x:c r="N75" s="48"/>
      <x:c r="O75" s="49"/>
      <x:c r="P75" s="49"/>
      <x:c r="Q75" s="56"/>
    </x:row>
    <x:row r="76" ht="15" hidden="0" customHeight="1">
      <x:c r="A76" s="29" t="str">
        <x:f>IF($B76&lt;&gt;"","SP-"&amp;TEXT(ROW()-4,"000"),"")</x:f>
      </x:c>
      <x:c r="B76" s="47"/>
      <x:c r="C76" s="47"/>
      <x:c r="D76" s="47"/>
      <x:c r="E76" s="47"/>
      <x:c r="F76" s="47"/>
      <x:c r="G76" s="47"/>
      <x:c r="H76" s="49"/>
      <x:c r="I76" s="49"/>
      <x:c r="J76" s="47"/>
      <x:c r="K76" s="56"/>
      <x:c r="L76" s="56"/>
      <x:c r="M76" s="56"/>
      <x:c r="N76" s="48"/>
      <x:c r="O76" s="49"/>
      <x:c r="P76" s="49"/>
      <x:c r="Q76" s="56"/>
    </x:row>
    <x:row r="77" ht="15" hidden="0" customHeight="1">
      <x:c r="A77" s="29" t="str">
        <x:f>IF($B77&lt;&gt;"","SP-"&amp;TEXT(ROW()-4,"000"),"")</x:f>
      </x:c>
      <x:c r="B77" s="47"/>
      <x:c r="C77" s="47"/>
      <x:c r="D77" s="47"/>
      <x:c r="E77" s="47"/>
      <x:c r="F77" s="47"/>
      <x:c r="G77" s="47"/>
      <x:c r="H77" s="49"/>
      <x:c r="I77" s="49"/>
      <x:c r="J77" s="47"/>
      <x:c r="K77" s="56"/>
      <x:c r="L77" s="56"/>
      <x:c r="M77" s="56"/>
      <x:c r="N77" s="48"/>
      <x:c r="O77" s="49"/>
      <x:c r="P77" s="49"/>
      <x:c r="Q77" s="56"/>
    </x:row>
    <x:row r="78" ht="15" hidden="0" customHeight="1">
      <x:c r="A78" s="29" t="str">
        <x:f>IF($B78&lt;&gt;"","SP-"&amp;TEXT(ROW()-4,"000"),"")</x:f>
      </x:c>
      <x:c r="B78" s="47"/>
      <x:c r="C78" s="47"/>
      <x:c r="D78" s="47"/>
      <x:c r="E78" s="47"/>
      <x:c r="F78" s="47"/>
      <x:c r="G78" s="47"/>
      <x:c r="H78" s="49"/>
      <x:c r="I78" s="49"/>
      <x:c r="J78" s="47"/>
      <x:c r="K78" s="56"/>
      <x:c r="L78" s="56"/>
      <x:c r="M78" s="56"/>
      <x:c r="N78" s="48"/>
      <x:c r="O78" s="49"/>
      <x:c r="P78" s="49"/>
      <x:c r="Q78" s="56"/>
    </x:row>
    <x:row r="79" ht="15" hidden="0" customHeight="1">
      <x:c r="A79" s="29" t="str">
        <x:f>IF($B79&lt;&gt;"","SP-"&amp;TEXT(ROW()-4,"000"),"")</x:f>
      </x:c>
      <x:c r="B79" s="47"/>
      <x:c r="C79" s="47"/>
      <x:c r="D79" s="47"/>
      <x:c r="E79" s="47"/>
      <x:c r="F79" s="47"/>
      <x:c r="G79" s="47"/>
      <x:c r="H79" s="49"/>
      <x:c r="I79" s="49"/>
      <x:c r="J79" s="47"/>
      <x:c r="K79" s="56"/>
      <x:c r="L79" s="56"/>
      <x:c r="M79" s="56"/>
      <x:c r="N79" s="48"/>
      <x:c r="O79" s="49"/>
      <x:c r="P79" s="49"/>
      <x:c r="Q79" s="56"/>
    </x:row>
    <x:row r="80" ht="15" hidden="0" customHeight="1">
      <x:c r="A80" s="29" t="str">
        <x:f>IF($B80&lt;&gt;"","SP-"&amp;TEXT(ROW()-4,"000"),"")</x:f>
      </x:c>
      <x:c r="B80" s="47"/>
      <x:c r="C80" s="47"/>
      <x:c r="D80" s="47"/>
      <x:c r="E80" s="47"/>
      <x:c r="F80" s="47"/>
      <x:c r="G80" s="47"/>
      <x:c r="H80" s="49"/>
      <x:c r="I80" s="49"/>
      <x:c r="J80" s="47"/>
      <x:c r="K80" s="56"/>
      <x:c r="L80" s="56"/>
      <x:c r="M80" s="56"/>
      <x:c r="N80" s="48"/>
      <x:c r="O80" s="49"/>
      <x:c r="P80" s="49"/>
      <x:c r="Q80" s="56"/>
    </x:row>
    <x:row r="81" ht="15" hidden="0" customHeight="1">
      <x:c r="A81" s="29" t="str">
        <x:f>IF($B81&lt;&gt;"","SP-"&amp;TEXT(ROW()-4,"000"),"")</x:f>
      </x:c>
      <x:c r="B81" s="47"/>
      <x:c r="C81" s="47"/>
      <x:c r="D81" s="47"/>
      <x:c r="E81" s="47"/>
      <x:c r="F81" s="47"/>
      <x:c r="G81" s="47"/>
      <x:c r="H81" s="49"/>
      <x:c r="I81" s="49"/>
      <x:c r="J81" s="47"/>
      <x:c r="K81" s="56"/>
      <x:c r="L81" s="56"/>
      <x:c r="M81" s="56"/>
      <x:c r="N81" s="48"/>
      <x:c r="O81" s="49"/>
      <x:c r="P81" s="49"/>
      <x:c r="Q81" s="56"/>
    </x:row>
    <x:row r="82" ht="15" hidden="0" customHeight="1">
      <x:c r="A82" s="29" t="str">
        <x:f>IF($B82&lt;&gt;"","SP-"&amp;TEXT(ROW()-4,"000"),"")</x:f>
      </x:c>
      <x:c r="B82" s="47"/>
      <x:c r="C82" s="47"/>
      <x:c r="D82" s="47"/>
      <x:c r="E82" s="47"/>
      <x:c r="F82" s="47"/>
      <x:c r="G82" s="47"/>
      <x:c r="H82" s="49"/>
      <x:c r="I82" s="49"/>
      <x:c r="J82" s="47"/>
      <x:c r="K82" s="56"/>
      <x:c r="L82" s="56"/>
      <x:c r="M82" s="56"/>
      <x:c r="N82" s="48"/>
      <x:c r="O82" s="49"/>
      <x:c r="P82" s="49"/>
      <x:c r="Q82" s="56"/>
    </x:row>
    <x:row r="83" ht="15" hidden="0" customHeight="1">
      <x:c r="A83" s="29" t="str">
        <x:f>IF($B83&lt;&gt;"","SP-"&amp;TEXT(ROW()-4,"000"),"")</x:f>
      </x:c>
      <x:c r="B83" s="47"/>
      <x:c r="C83" s="47"/>
      <x:c r="D83" s="47"/>
      <x:c r="E83" s="47"/>
      <x:c r="F83" s="47"/>
      <x:c r="G83" s="47"/>
      <x:c r="H83" s="49"/>
      <x:c r="I83" s="49"/>
      <x:c r="J83" s="47"/>
      <x:c r="K83" s="56"/>
      <x:c r="L83" s="56"/>
      <x:c r="M83" s="56"/>
      <x:c r="N83" s="48"/>
      <x:c r="O83" s="49"/>
      <x:c r="P83" s="49"/>
      <x:c r="Q83" s="56"/>
    </x:row>
    <x:row r="84" ht="15" hidden="0" customHeight="1">
      <x:c r="A84" s="29" t="str">
        <x:f>IF($B84&lt;&gt;"","SP-"&amp;TEXT(ROW()-4,"000"),"")</x:f>
      </x:c>
      <x:c r="B84" s="47"/>
      <x:c r="C84" s="47"/>
      <x:c r="D84" s="47"/>
      <x:c r="E84" s="47"/>
      <x:c r="F84" s="47"/>
      <x:c r="G84" s="47"/>
      <x:c r="H84" s="49"/>
      <x:c r="I84" s="49"/>
      <x:c r="J84" s="47"/>
      <x:c r="K84" s="56"/>
      <x:c r="L84" s="56"/>
      <x:c r="M84" s="56"/>
      <x:c r="N84" s="48"/>
      <x:c r="O84" s="49"/>
      <x:c r="P84" s="49"/>
      <x:c r="Q84" s="56"/>
    </x:row>
    <x:row r="85" ht="15" hidden="0" customHeight="1">
      <x:c r="A85" s="29" t="str">
        <x:f>IF($B85&lt;&gt;"","SP-"&amp;TEXT(ROW()-4,"000"),"")</x:f>
      </x:c>
      <x:c r="B85" s="47"/>
      <x:c r="C85" s="47"/>
      <x:c r="D85" s="47"/>
      <x:c r="E85" s="47"/>
      <x:c r="F85" s="47"/>
      <x:c r="G85" s="47"/>
      <x:c r="H85" s="49"/>
      <x:c r="I85" s="49"/>
      <x:c r="J85" s="47"/>
      <x:c r="K85" s="56"/>
      <x:c r="L85" s="56"/>
      <x:c r="M85" s="56"/>
      <x:c r="N85" s="48"/>
      <x:c r="O85" s="49"/>
      <x:c r="P85" s="49"/>
      <x:c r="Q85" s="56"/>
    </x:row>
    <x:row r="86" ht="15" hidden="0" customHeight="1">
      <x:c r="A86" s="29" t="str">
        <x:f>IF($B86&lt;&gt;"","SP-"&amp;TEXT(ROW()-4,"000"),"")</x:f>
      </x:c>
      <x:c r="B86" s="47"/>
      <x:c r="C86" s="47"/>
      <x:c r="D86" s="47"/>
      <x:c r="E86" s="47"/>
      <x:c r="F86" s="47"/>
      <x:c r="G86" s="47"/>
      <x:c r="H86" s="49"/>
      <x:c r="I86" s="49"/>
      <x:c r="J86" s="47"/>
      <x:c r="K86" s="56"/>
      <x:c r="L86" s="56"/>
      <x:c r="M86" s="56"/>
      <x:c r="N86" s="48"/>
      <x:c r="O86" s="49"/>
      <x:c r="P86" s="49"/>
      <x:c r="Q86" s="56"/>
    </x:row>
    <x:row r="87" ht="15" hidden="0" customHeight="1">
      <x:c r="A87" s="29" t="str">
        <x:f>IF($B87&lt;&gt;"","SP-"&amp;TEXT(ROW()-4,"000"),"")</x:f>
      </x:c>
      <x:c r="B87" s="47"/>
      <x:c r="C87" s="47"/>
      <x:c r="D87" s="47"/>
      <x:c r="E87" s="47"/>
      <x:c r="F87" s="47"/>
      <x:c r="G87" s="47"/>
      <x:c r="H87" s="49"/>
      <x:c r="I87" s="49"/>
      <x:c r="J87" s="47"/>
      <x:c r="K87" s="56"/>
      <x:c r="L87" s="56"/>
      <x:c r="M87" s="56"/>
      <x:c r="N87" s="48"/>
      <x:c r="O87" s="49"/>
      <x:c r="P87" s="49"/>
      <x:c r="Q87" s="56"/>
    </x:row>
    <x:row r="88" ht="15" hidden="0" customHeight="1">
      <x:c r="A88" s="29" t="str">
        <x:f>IF($B88&lt;&gt;"","SP-"&amp;TEXT(ROW()-4,"000"),"")</x:f>
      </x:c>
      <x:c r="B88" s="47"/>
      <x:c r="C88" s="47"/>
      <x:c r="D88" s="47"/>
      <x:c r="E88" s="47"/>
      <x:c r="F88" s="47"/>
      <x:c r="G88" s="47"/>
      <x:c r="H88" s="49"/>
      <x:c r="I88" s="49"/>
      <x:c r="J88" s="47"/>
      <x:c r="K88" s="56"/>
      <x:c r="L88" s="56"/>
      <x:c r="M88" s="56"/>
      <x:c r="N88" s="48"/>
      <x:c r="O88" s="49"/>
      <x:c r="P88" s="49"/>
      <x:c r="Q88" s="56"/>
    </x:row>
    <x:row r="89" ht="15" hidden="0" customHeight="1">
      <x:c r="A89" s="29" t="str">
        <x:f>IF($B89&lt;&gt;"","SP-"&amp;TEXT(ROW()-4,"000"),"")</x:f>
      </x:c>
      <x:c r="B89" s="47"/>
      <x:c r="C89" s="47"/>
      <x:c r="D89" s="47"/>
      <x:c r="E89" s="47"/>
      <x:c r="F89" s="47"/>
      <x:c r="G89" s="47"/>
      <x:c r="H89" s="49"/>
      <x:c r="I89" s="49"/>
      <x:c r="J89" s="47"/>
      <x:c r="K89" s="56"/>
      <x:c r="L89" s="56"/>
      <x:c r="M89" s="56"/>
      <x:c r="N89" s="48"/>
      <x:c r="O89" s="49"/>
      <x:c r="P89" s="49"/>
      <x:c r="Q89" s="56"/>
    </x:row>
    <x:row r="90" ht="15" hidden="0" customHeight="1">
      <x:c r="A90" s="29" t="str">
        <x:f>IF($B90&lt;&gt;"","SP-"&amp;TEXT(ROW()-4,"000"),"")</x:f>
      </x:c>
      <x:c r="B90" s="47"/>
      <x:c r="C90" s="47"/>
      <x:c r="D90" s="47"/>
      <x:c r="E90" s="47"/>
      <x:c r="F90" s="47"/>
      <x:c r="G90" s="47"/>
      <x:c r="H90" s="49"/>
      <x:c r="I90" s="49"/>
      <x:c r="J90" s="47"/>
      <x:c r="K90" s="56"/>
      <x:c r="L90" s="56"/>
      <x:c r="M90" s="56"/>
      <x:c r="N90" s="48"/>
      <x:c r="O90" s="49"/>
      <x:c r="P90" s="49"/>
      <x:c r="Q90" s="56"/>
    </x:row>
    <x:row r="91" ht="15" hidden="0" customHeight="1">
      <x:c r="A91" s="29" t="str">
        <x:f>IF($B91&lt;&gt;"","SP-"&amp;TEXT(ROW()-4,"000"),"")</x:f>
      </x:c>
      <x:c r="B91" s="47"/>
      <x:c r="C91" s="47"/>
      <x:c r="D91" s="47"/>
      <x:c r="E91" s="47"/>
      <x:c r="F91" s="47"/>
      <x:c r="G91" s="47"/>
      <x:c r="H91" s="49"/>
      <x:c r="I91" s="49"/>
      <x:c r="J91" s="47"/>
      <x:c r="K91" s="56"/>
      <x:c r="L91" s="56"/>
      <x:c r="M91" s="56"/>
      <x:c r="N91" s="48"/>
      <x:c r="O91" s="49"/>
      <x:c r="P91" s="49"/>
      <x:c r="Q91" s="56"/>
    </x:row>
    <x:row r="92" ht="15" hidden="0" customHeight="1">
      <x:c r="A92" s="29" t="str">
        <x:f>IF($B92&lt;&gt;"","SP-"&amp;TEXT(ROW()-4,"000"),"")</x:f>
      </x:c>
      <x:c r="B92" s="47"/>
      <x:c r="C92" s="47"/>
      <x:c r="D92" s="47"/>
      <x:c r="E92" s="47"/>
      <x:c r="F92" s="47"/>
      <x:c r="G92" s="47"/>
      <x:c r="H92" s="49"/>
      <x:c r="I92" s="49"/>
      <x:c r="J92" s="47"/>
      <x:c r="K92" s="56"/>
      <x:c r="L92" s="56"/>
      <x:c r="M92" s="56"/>
      <x:c r="N92" s="48"/>
      <x:c r="O92" s="49"/>
      <x:c r="P92" s="49"/>
      <x:c r="Q92" s="56"/>
    </x:row>
    <x:row r="93" ht="15" hidden="0" customHeight="1">
      <x:c r="A93" s="29" t="str">
        <x:f>IF($B93&lt;&gt;"","SP-"&amp;TEXT(ROW()-4,"000"),"")</x:f>
      </x:c>
      <x:c r="B93" s="47"/>
      <x:c r="C93" s="47"/>
      <x:c r="D93" s="47"/>
      <x:c r="E93" s="47"/>
      <x:c r="F93" s="47"/>
      <x:c r="G93" s="47"/>
      <x:c r="H93" s="49"/>
      <x:c r="I93" s="49"/>
      <x:c r="J93" s="47"/>
      <x:c r="K93" s="56"/>
      <x:c r="L93" s="56"/>
      <x:c r="M93" s="56"/>
      <x:c r="N93" s="48"/>
      <x:c r="O93" s="49"/>
      <x:c r="P93" s="49"/>
      <x:c r="Q93" s="56"/>
    </x:row>
    <x:row r="94" ht="15" hidden="0" customHeight="1">
      <x:c r="A94" s="29" t="str">
        <x:f>IF($B94&lt;&gt;"","SP-"&amp;TEXT(ROW()-4,"000"),"")</x:f>
      </x:c>
      <x:c r="B94" s="47"/>
      <x:c r="C94" s="47"/>
      <x:c r="D94" s="47"/>
      <x:c r="E94" s="47"/>
      <x:c r="F94" s="47"/>
      <x:c r="G94" s="47"/>
      <x:c r="H94" s="49"/>
      <x:c r="I94" s="49"/>
      <x:c r="J94" s="47"/>
      <x:c r="K94" s="56"/>
      <x:c r="L94" s="56"/>
      <x:c r="M94" s="56"/>
      <x:c r="N94" s="48"/>
      <x:c r="O94" s="49"/>
      <x:c r="P94" s="49"/>
      <x:c r="Q94" s="56"/>
    </x:row>
    <x:row r="95" ht="15" hidden="0" customHeight="1">
      <x:c r="A95" s="29" t="str">
        <x:f>IF($B95&lt;&gt;"","SP-"&amp;TEXT(ROW()-4,"000"),"")</x:f>
      </x:c>
      <x:c r="B95" s="47"/>
      <x:c r="C95" s="47"/>
      <x:c r="D95" s="47"/>
      <x:c r="E95" s="47"/>
      <x:c r="F95" s="47"/>
      <x:c r="G95" s="47"/>
      <x:c r="H95" s="49"/>
      <x:c r="I95" s="49"/>
      <x:c r="J95" s="47"/>
      <x:c r="K95" s="56"/>
      <x:c r="L95" s="56"/>
      <x:c r="M95" s="56"/>
      <x:c r="N95" s="48"/>
      <x:c r="O95" s="49"/>
      <x:c r="P95" s="49"/>
      <x:c r="Q95" s="56"/>
    </x:row>
    <x:row r="96" ht="15" hidden="0" customHeight="1">
      <x:c r="A96" s="29" t="str">
        <x:f>IF($B96&lt;&gt;"","SP-"&amp;TEXT(ROW()-4,"000"),"")</x:f>
      </x:c>
      <x:c r="B96" s="47"/>
      <x:c r="C96" s="47"/>
      <x:c r="D96" s="47"/>
      <x:c r="E96" s="47"/>
      <x:c r="F96" s="47"/>
      <x:c r="G96" s="47"/>
      <x:c r="H96" s="49"/>
      <x:c r="I96" s="49"/>
      <x:c r="J96" s="47"/>
      <x:c r="K96" s="56"/>
      <x:c r="L96" s="56"/>
      <x:c r="M96" s="56"/>
      <x:c r="N96" s="48"/>
      <x:c r="O96" s="49"/>
      <x:c r="P96" s="49"/>
      <x:c r="Q96" s="56"/>
    </x:row>
    <x:row r="97" ht="15" hidden="0" customHeight="1">
      <x:c r="A97" s="29" t="str">
        <x:f>IF($B97&lt;&gt;"","SP-"&amp;TEXT(ROW()-4,"000"),"")</x:f>
      </x:c>
      <x:c r="B97" s="47"/>
      <x:c r="C97" s="47"/>
      <x:c r="D97" s="47"/>
      <x:c r="E97" s="47"/>
      <x:c r="F97" s="47"/>
      <x:c r="G97" s="47"/>
      <x:c r="H97" s="49"/>
      <x:c r="I97" s="49"/>
      <x:c r="J97" s="47"/>
      <x:c r="K97" s="56"/>
      <x:c r="L97" s="56"/>
      <x:c r="M97" s="56"/>
      <x:c r="N97" s="48"/>
      <x:c r="O97" s="49"/>
      <x:c r="P97" s="49"/>
      <x:c r="Q97" s="56"/>
    </x:row>
    <x:row r="98" ht="15" hidden="0" customHeight="1">
      <x:c r="A98" s="29" t="str">
        <x:f>IF($B98&lt;&gt;"","SP-"&amp;TEXT(ROW()-4,"000"),"")</x:f>
      </x:c>
      <x:c r="B98" s="47"/>
      <x:c r="C98" s="47"/>
      <x:c r="D98" s="47"/>
      <x:c r="E98" s="47"/>
      <x:c r="F98" s="47"/>
      <x:c r="G98" s="47"/>
      <x:c r="H98" s="49"/>
      <x:c r="I98" s="49"/>
      <x:c r="J98" s="47"/>
      <x:c r="K98" s="56"/>
      <x:c r="L98" s="56"/>
      <x:c r="M98" s="56"/>
      <x:c r="N98" s="48"/>
      <x:c r="O98" s="49"/>
      <x:c r="P98" s="49"/>
      <x:c r="Q98" s="56"/>
    </x:row>
    <x:row r="99" ht="15" hidden="0" customHeight="1">
      <x:c r="A99" s="29" t="str">
        <x:f>IF($B99&lt;&gt;"","SP-"&amp;TEXT(ROW()-4,"000"),"")</x:f>
      </x:c>
      <x:c r="B99" s="47"/>
      <x:c r="C99" s="47"/>
      <x:c r="D99" s="47"/>
      <x:c r="E99" s="47"/>
      <x:c r="F99" s="47"/>
      <x:c r="G99" s="47"/>
      <x:c r="H99" s="49"/>
      <x:c r="I99" s="49"/>
      <x:c r="J99" s="47"/>
      <x:c r="K99" s="56"/>
      <x:c r="L99" s="56"/>
      <x:c r="M99" s="56"/>
      <x:c r="N99" s="48"/>
      <x:c r="O99" s="49"/>
      <x:c r="P99" s="49"/>
      <x:c r="Q99" s="56"/>
    </x:row>
    <x:row r="100" ht="15" hidden="0" customHeight="1">
      <x:c r="A100" s="29" t="str">
        <x:f>IF($B100&lt;&gt;"","SP-"&amp;TEXT(ROW()-4,"000"),"")</x:f>
      </x:c>
      <x:c r="B100" s="47"/>
      <x:c r="C100" s="47"/>
      <x:c r="D100" s="47"/>
      <x:c r="E100" s="47"/>
      <x:c r="F100" s="47"/>
      <x:c r="G100" s="47"/>
      <x:c r="H100" s="49"/>
      <x:c r="I100" s="49"/>
      <x:c r="J100" s="47"/>
      <x:c r="K100" s="56"/>
      <x:c r="L100" s="56"/>
      <x:c r="M100" s="56"/>
      <x:c r="N100" s="48"/>
      <x:c r="O100" s="49"/>
      <x:c r="P100" s="49"/>
      <x:c r="Q100" s="56"/>
    </x:row>
    <x:row r="101" ht="15" hidden="0" customHeight="1">
      <x:c r="A101" s="29" t="str">
        <x:f>IF($B101&lt;&gt;"","SP-"&amp;TEXT(ROW()-4,"000"),"")</x:f>
      </x:c>
      <x:c r="B101" s="47"/>
      <x:c r="C101" s="47"/>
      <x:c r="D101" s="47"/>
      <x:c r="E101" s="47"/>
      <x:c r="F101" s="47"/>
      <x:c r="G101" s="47"/>
      <x:c r="H101" s="49"/>
      <x:c r="I101" s="49"/>
      <x:c r="J101" s="47"/>
      <x:c r="K101" s="56"/>
      <x:c r="L101" s="56"/>
      <x:c r="M101" s="56"/>
      <x:c r="N101" s="48"/>
      <x:c r="O101" s="49"/>
      <x:c r="P101" s="49"/>
      <x:c r="Q101" s="56"/>
    </x:row>
    <x:row r="102" ht="15" hidden="0" customHeight="1">
      <x:c r="A102" s="29" t="str">
        <x:f>IF($B102&lt;&gt;"","SP-"&amp;TEXT(ROW()-4,"000"),"")</x:f>
      </x:c>
      <x:c r="B102" s="47"/>
      <x:c r="C102" s="47"/>
      <x:c r="D102" s="47"/>
      <x:c r="E102" s="47"/>
      <x:c r="F102" s="47"/>
      <x:c r="G102" s="47"/>
      <x:c r="H102" s="49"/>
      <x:c r="I102" s="49"/>
      <x:c r="J102" s="47"/>
      <x:c r="K102" s="56"/>
      <x:c r="L102" s="56"/>
      <x:c r="M102" s="56"/>
      <x:c r="N102" s="48"/>
      <x:c r="O102" s="49"/>
      <x:c r="P102" s="49"/>
      <x:c r="Q102" s="56"/>
    </x:row>
    <x:row r="103" ht="15" hidden="0" customHeight="1">
      <x:c r="A103" s="29" t="str">
        <x:f>IF($B103&lt;&gt;"","SP-"&amp;TEXT(ROW()-4,"000"),"")</x:f>
      </x:c>
      <x:c r="B103" s="47"/>
      <x:c r="C103" s="47"/>
      <x:c r="D103" s="47"/>
      <x:c r="E103" s="47"/>
      <x:c r="F103" s="47"/>
      <x:c r="G103" s="47"/>
      <x:c r="H103" s="49"/>
      <x:c r="I103" s="49"/>
      <x:c r="J103" s="47"/>
      <x:c r="K103" s="56"/>
      <x:c r="L103" s="56"/>
      <x:c r="M103" s="56"/>
      <x:c r="N103" s="48"/>
      <x:c r="O103" s="49"/>
      <x:c r="P103" s="49"/>
      <x:c r="Q103" s="56"/>
    </x:row>
    <x:row r="104" ht="15" hidden="0" customHeight="1">
      <x:c r="A104" s="30" t="str">
        <x:f>IF($B104&lt;&gt;"","SP-"&amp;TEXT(ROW()-4,"000"),"")</x:f>
      </x:c>
      <x:c r="B104" s="51"/>
      <x:c r="C104" s="51"/>
      <x:c r="D104" s="51"/>
      <x:c r="E104" s="51"/>
      <x:c r="F104" s="51"/>
      <x:c r="G104" s="51"/>
      <x:c r="H104" s="53"/>
      <x:c r="I104" s="53"/>
      <x:c r="J104" s="51"/>
      <x:c r="K104" s="57"/>
      <x:c r="L104" s="57"/>
      <x:c r="M104" s="57"/>
      <x:c r="N104" s="52"/>
      <x:c r="O104" s="53"/>
      <x:c r="P104" s="53"/>
      <x:c r="Q104" s="57"/>
    </x:row>
  </x:sheetData>
  <x:mergeCells>
    <x:mergeCell ref="A1:Q1"/>
    <x:mergeCell ref="A2:H2"/>
  </x:mergeCells>
  <x:conditionalFormatting sqref="J5:J104">
    <x:cfRule type="containsText" dxfId="7" priority="1" operator="containsText" text="Approved"/>
    <x:cfRule type="containsText" dxfId="8" priority="2" operator="containsText" text="Activated"/>
    <x:cfRule type="containsText" dxfId="9" priority="3" operator="containsText" text="Shared Proof"/>
    <x:cfRule type="containsText" dxfId="10" priority="4" operator="containsText" text="Not Fit"/>
  </x:conditionalFormatting>
  <x:dataValidations count="3">
    <x:dataValidation type="list" sqref="C5:C104">
      <x:formula1>"Technical Editor,Pattern Educator,Yarn Shop,Craft Newsletter,Designer Community,Publisher,Other"</x:formula1>
    </x:dataValidation>
    <x:dataValidation type="list" sqref="F5:F104">
      <x:formula1>"Instagram Bio,Instagram DM,Instagram Reels,Pinterest Organic,Pinterest Paid,Partner Outreach,Ravelry/Community,Referral,Waitlist,Website,Other"</x:formula1>
    </x:dataValidation>
    <x:dataValidation type="list" sqref="J5:J104">
      <x:formula1>"Prospect,Email Sent,Replied,Mention Scheduled,Mention Live,Partner Active,Not Fit,No Reply"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e29796c94c4e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58" hidden="0" customWidth="1"/>
    <x:col min="4" max="4" width="18" hidden="0" customWidth="1"/>
    <x:col min="5" max="5" width="16" hidden="0" customWidth="1"/>
    <x:col min="6" max="6" width="12" hidden="0" customWidth="1"/>
    <x:col min="7" max="7" width="14" hidden="0" customWidth="1"/>
    <x:col min="8" max="8" width="14" hidden="0" customWidth="1"/>
    <x:col min="9" max="9" width="30" hidden="0" customWidth="1"/>
  </x:cols>
  <x:sheetData>
    <x:row r="1" ht="19.200000762939453" hidden="0" customHeight="1">
      <x:c r="A1" s="4" t="str">
        <x:v>30-Day Beta Campaign Tasks</x:v>
      </x:c>
      <x:c r="B1" s="4" t="str">
        <x:v>30-Day Beta Campaign Tasks</x:v>
      </x:c>
      <x:c r="C1" s="4" t="str">
        <x:v>30-Day Beta Campaign Tasks</x:v>
      </x:c>
      <x:c r="D1" s="4" t="str">
        <x:v>30-Day Beta Campaign Tasks</x:v>
      </x:c>
      <x:c r="E1" s="4" t="str">
        <x:v>30-Day Beta Campaign Tasks</x:v>
      </x:c>
      <x:c r="F1" s="4" t="str">
        <x:v>30-Day Beta Campaign Tasks</x:v>
      </x:c>
      <x:c r="G1" s="4" t="str">
        <x:v>30-Day Beta Campaign Tasks</x:v>
      </x:c>
      <x:c r="H1" s="4" t="str">
        <x:v>30-Day Beta Campaign Tasks</x:v>
      </x:c>
      <x:c r="I1" s="4" t="str">
        <x:v>30-Day Beta Campaign Tasks</x:v>
      </x:c>
    </x:row>
    <x:row r="2" ht="15" hidden="0" customHeight="1">
      <x:c r="A2" s="8" t="str">
        <x:v>Use this tab as your operating checklist for the campaign launch.</x:v>
      </x:c>
      <x:c r="B2" s="8" t="str">
        <x:v>Use this tab as your operating checklist for the campaign launch.</x:v>
      </x:c>
      <x:c r="C2" s="8" t="str">
        <x:v>Use this tab as your operating checklist for the campaign launch.</x:v>
      </x:c>
      <x:c r="D2" s="8" t="str">
        <x:v>Use this tab as your operating checklist for the campaign launch.</x:v>
      </x:c>
      <x:c r="E2" s="8" t="str">
        <x:v>Use this tab as your operating checklist for the campaign launch.</x:v>
      </x:c>
      <x:c r="F2" s="8" t="str">
        <x:v>Use this tab as your operating checklist for the campaign launch.</x:v>
      </x:c>
      <x:c r="G2" s="8" t="str">
        <x:v>Use this tab as your operating checklist for the campaign launch.</x:v>
      </x:c>
      <x:c r="H2" s="8" t="str">
        <x:v>Use this tab as your operating checklist for the campaign launch.</x:v>
      </x:c>
    </x:row>
    <x:row r="3"/>
    <x:row r="4" ht="15" hidden="0" customHeight="1">
      <x:c r="A4" s="20" t="str">
        <x:v>Week</x:v>
      </x:c>
      <x:c r="B4" s="21" t="str">
        <x:v>Phase</x:v>
      </x:c>
      <x:c r="C4" s="21" t="str">
        <x:v>Task</x:v>
      </x:c>
      <x:c r="D4" s="21" t="str">
        <x:v>Channel</x:v>
      </x:c>
      <x:c r="E4" s="21" t="str">
        <x:v>Owner</x:v>
      </x:c>
      <x:c r="F4" s="21" t="str">
        <x:v>Priority</x:v>
      </x:c>
      <x:c r="G4" s="21" t="str">
        <x:v>Status</x:v>
      </x:c>
      <x:c r="H4" s="21" t="str">
        <x:v>Due Date</x:v>
      </x:c>
      <x:c r="I4" s="22" t="str">
        <x:v>Notes</x:v>
      </x:c>
    </x:row>
    <x:row r="5" ht="15" hidden="0" customHeight="1">
      <x:c r="A5" s="31" t="n">
        <x:v>1</x:v>
      </x:c>
      <x:c r="B5" s="28" t="str">
        <x:v>Setup</x:v>
      </x:c>
      <x:c r="C5" s="40" t="str">
        <x:v>Add UTM links for Instagram bio, DMs, Pinterest, partners, and beta page</x:v>
      </x:c>
      <x:c r="D5" s="28" t="str">
        <x:v>Tracking</x:v>
      </x:c>
      <x:c r="E5" s="43" t="str"/>
      <x:c r="F5" s="43" t="str">
        <x:v>High</x:v>
      </x:c>
      <x:c r="G5" s="43" t="str">
        <x:v>Not Started</x:v>
      </x:c>
      <x:c r="H5" s="55"/>
      <x:c r="I5" s="45" t="str"/>
    </x:row>
    <x:row r="6" ht="15" hidden="0" customHeight="1">
      <x:c r="A6" s="32" t="n">
        <x:v>1</x:v>
      </x:c>
      <x:c r="B6" s="29" t="str">
        <x:v>Setup</x:v>
      </x:c>
      <x:c r="C6" s="41" t="str">
        <x:v>Create the Market-Ready Pattern Checklist</x:v>
      </x:c>
      <x:c r="D6" s="29" t="str">
        <x:v>Lead Magnet</x:v>
      </x:c>
      <x:c r="E6" s="47" t="str"/>
      <x:c r="F6" s="47" t="str">
        <x:v>High</x:v>
      </x:c>
      <x:c r="G6" s="47" t="str">
        <x:v>Not Started</x:v>
      </x:c>
      <x:c r="H6" s="56"/>
      <x:c r="I6" s="49" t="str"/>
    </x:row>
    <x:row r="7" ht="15" hidden="0" customHeight="1">
      <x:c r="A7" s="32" t="n">
        <x:v>1</x:v>
      </x:c>
      <x:c r="B7" s="29" t="str">
        <x:v>Setup</x:v>
      </x:c>
      <x:c r="C7" s="41" t="str">
        <x:v>Prepare 3 demo clips from existing videos</x:v>
      </x:c>
      <x:c r="D7" s="29" t="str">
        <x:v>Creative</x:v>
      </x:c>
      <x:c r="E7" s="47" t="str"/>
      <x:c r="F7" s="47" t="str">
        <x:v>High</x:v>
      </x:c>
      <x:c r="G7" s="47" t="str">
        <x:v>Not Started</x:v>
      </x:c>
      <x:c r="H7" s="56"/>
      <x:c r="I7" s="49" t="str"/>
    </x:row>
    <x:row r="8" ht="15" hidden="0" customHeight="1">
      <x:c r="A8" s="32" t="n">
        <x:v>1</x:v>
      </x:c>
      <x:c r="B8" s="29" t="str">
        <x:v>Setup</x:v>
      </x:c>
      <x:c r="C8" s="41" t="str">
        <x:v>Shortlist 50 independent designers</x:v>
      </x:c>
      <x:c r="D8" s="29" t="str">
        <x:v>Outreach</x:v>
      </x:c>
      <x:c r="E8" s="47" t="str"/>
      <x:c r="F8" s="47" t="str">
        <x:v>High</x:v>
      </x:c>
      <x:c r="G8" s="47" t="str">
        <x:v>Not Started</x:v>
      </x:c>
      <x:c r="H8" s="56"/>
      <x:c r="I8" s="49" t="str"/>
    </x:row>
    <x:row r="9" ht="15" hidden="0" customHeight="1">
      <x:c r="A9" s="32" t="n">
        <x:v>1</x:v>
      </x:c>
      <x:c r="B9" s="29" t="str">
        <x:v>Setup</x:v>
      </x:c>
      <x:c r="C9" s="41" t="str">
        <x:v>Shortlist 20 potential partners</x:v>
      </x:c>
      <x:c r="D9" s="29" t="str">
        <x:v>Partners</x:v>
      </x:c>
      <x:c r="E9" s="47" t="str"/>
      <x:c r="F9" s="47" t="str">
        <x:v>Medium</x:v>
      </x:c>
      <x:c r="G9" s="47" t="str">
        <x:v>Not Started</x:v>
      </x:c>
      <x:c r="H9" s="56"/>
      <x:c r="I9" s="49" t="str"/>
    </x:row>
    <x:row r="10" ht="15" hidden="0" customHeight="1">
      <x:c r="A10" s="32" t="n">
        <x:v>2</x:v>
      </x:c>
      <x:c r="B10" s="29" t="str">
        <x:v>Organic + Outreach</x:v>
      </x:c>
      <x:c r="C10" s="41" t="str">
        <x:v>Publish 3 Reels using demo clips</x:v>
      </x:c>
      <x:c r="D10" s="29" t="str">
        <x:v>Instagram</x:v>
      </x:c>
      <x:c r="E10" s="47" t="str"/>
      <x:c r="F10" s="47" t="str">
        <x:v>High</x:v>
      </x:c>
      <x:c r="G10" s="47" t="str">
        <x:v>Not Started</x:v>
      </x:c>
      <x:c r="H10" s="56"/>
      <x:c r="I10" s="49" t="str"/>
    </x:row>
    <x:row r="11" ht="15" hidden="0" customHeight="1">
      <x:c r="A11" s="32" t="n">
        <x:v>2</x:v>
      </x:c>
      <x:c r="B11" s="29" t="str">
        <x:v>Organic + Outreach</x:v>
      </x:c>
      <x:c r="C11" s="41" t="str">
        <x:v>Publish 5 Pinterest pins linking to beta/checklist</x:v>
      </x:c>
      <x:c r="D11" s="29" t="str">
        <x:v>Pinterest</x:v>
      </x:c>
      <x:c r="E11" s="47" t="str"/>
      <x:c r="F11" s="47" t="str">
        <x:v>Medium</x:v>
      </x:c>
      <x:c r="G11" s="47" t="str">
        <x:v>Not Started</x:v>
      </x:c>
      <x:c r="H11" s="56"/>
      <x:c r="I11" s="49" t="str"/>
    </x:row>
    <x:row r="12" ht="15" hidden="0" customHeight="1">
      <x:c r="A12" s="32" t="n">
        <x:v>2</x:v>
      </x:c>
      <x:c r="B12" s="29" t="str">
        <x:v>Organic + Outreach</x:v>
      </x:c>
      <x:c r="C12" s="41" t="str">
        <x:v>Send 50 personalized designer DMs</x:v>
      </x:c>
      <x:c r="D12" s="29" t="str">
        <x:v>Instagram DM</x:v>
      </x:c>
      <x:c r="E12" s="47" t="str"/>
      <x:c r="F12" s="47" t="str">
        <x:v>High</x:v>
      </x:c>
      <x:c r="G12" s="47" t="str">
        <x:v>Not Started</x:v>
      </x:c>
      <x:c r="H12" s="56"/>
      <x:c r="I12" s="49" t="str"/>
    </x:row>
    <x:row r="13" ht="15" hidden="0" customHeight="1">
      <x:c r="A13" s="32" t="n">
        <x:v>2</x:v>
      </x:c>
      <x:c r="B13" s="29" t="str">
        <x:v>Organic + Outreach</x:v>
      </x:c>
      <x:c r="C13" s="41" t="str">
        <x:v>Send 10 partner outreach emails</x:v>
      </x:c>
      <x:c r="D13" s="29" t="str">
        <x:v>Partners</x:v>
      </x:c>
      <x:c r="E13" s="47" t="str"/>
      <x:c r="F13" s="47" t="str">
        <x:v>Medium</x:v>
      </x:c>
      <x:c r="G13" s="47" t="str">
        <x:v>Not Started</x:v>
      </x:c>
      <x:c r="H13" s="56"/>
      <x:c r="I13" s="49" t="str"/>
    </x:row>
    <x:row r="14" ht="15" hidden="0" customHeight="1">
      <x:c r="A14" s="32" t="n">
        <x:v>2</x:v>
      </x:c>
      <x:c r="B14" s="29" t="str">
        <x:v>Organic + Outreach</x:v>
      </x:c>
      <x:c r="C14" s="41" t="str">
        <x:v>Approve first 5-10 beta testers</x:v>
      </x:c>
      <x:c r="D14" s="29" t="str">
        <x:v>Beta Ops</x:v>
      </x:c>
      <x:c r="E14" s="47" t="str"/>
      <x:c r="F14" s="47" t="str">
        <x:v>High</x:v>
      </x:c>
      <x:c r="G14" s="47" t="str">
        <x:v>Not Started</x:v>
      </x:c>
      <x:c r="H14" s="56"/>
      <x:c r="I14" s="49" t="str"/>
    </x:row>
    <x:row r="15" ht="15" hidden="0" customHeight="1">
      <x:c r="A15" s="32" t="n">
        <x:v>3</x:v>
      </x:c>
      <x:c r="B15" s="29" t="str">
        <x:v>Paid Test</x:v>
      </x:c>
      <x:c r="C15" s="41" t="str">
        <x:v>Run Instagram/Reels test with 2 hooks and 2 creatives</x:v>
      </x:c>
      <x:c r="D15" s="29" t="str">
        <x:v>Paid Social</x:v>
      </x:c>
      <x:c r="E15" s="47" t="str"/>
      <x:c r="F15" s="47" t="str">
        <x:v>Medium</x:v>
      </x:c>
      <x:c r="G15" s="47" t="str">
        <x:v>Not Started</x:v>
      </x:c>
      <x:c r="H15" s="56"/>
      <x:c r="I15" s="49" t="str"/>
    </x:row>
    <x:row r="16" ht="15" hidden="0" customHeight="1">
      <x:c r="A16" s="32" t="n">
        <x:v>3</x:v>
      </x:c>
      <x:c r="B16" s="29" t="str">
        <x:v>Paid Test</x:v>
      </x:c>
      <x:c r="C16" s="41" t="str">
        <x:v>Run Pinterest test with 3 pin variants</x:v>
      </x:c>
      <x:c r="D16" s="29" t="str">
        <x:v>Pinterest Paid</x:v>
      </x:c>
      <x:c r="E16" s="47" t="str"/>
      <x:c r="F16" s="47" t="str">
        <x:v>Low</x:v>
      </x:c>
      <x:c r="G16" s="47" t="str">
        <x:v>Not Started</x:v>
      </x:c>
      <x:c r="H16" s="56"/>
      <x:c r="I16" s="49" t="str"/>
    </x:row>
    <x:row r="17" ht="15" hidden="0" customHeight="1">
      <x:c r="A17" s="32" t="n">
        <x:v>3</x:v>
      </x:c>
      <x:c r="B17" s="29" t="str">
        <x:v>Paid Test</x:v>
      </x:c>
      <x:c r="C17" s="41" t="str">
        <x:v>Retarget beta page visitors with Watch it work angle</x:v>
      </x:c>
      <x:c r="D17" s="29" t="str">
        <x:v>Retargeting</x:v>
      </x:c>
      <x:c r="E17" s="47" t="str"/>
      <x:c r="F17" s="47" t="str">
        <x:v>Medium</x:v>
      </x:c>
      <x:c r="G17" s="47" t="str">
        <x:v>Not Started</x:v>
      </x:c>
      <x:c r="H17" s="56"/>
      <x:c r="I17" s="49" t="str"/>
    </x:row>
    <x:row r="18" ht="15" hidden="0" customHeight="1">
      <x:c r="A18" s="32" t="n">
        <x:v>3</x:v>
      </x:c>
      <x:c r="B18" s="29" t="str">
        <x:v>Paid Test</x:v>
      </x:c>
      <x:c r="C18" s="41" t="str">
        <x:v>Pause weak creatives or low-quality application sources</x:v>
      </x:c>
      <x:c r="D18" s="29" t="str">
        <x:v>Optimization</x:v>
      </x:c>
      <x:c r="E18" s="47" t="str"/>
      <x:c r="F18" s="47" t="str">
        <x:v>High</x:v>
      </x:c>
      <x:c r="G18" s="47" t="str">
        <x:v>Not Started</x:v>
      </x:c>
      <x:c r="H18" s="56"/>
      <x:c r="I18" s="49" t="str"/>
    </x:row>
    <x:row r="19" ht="15" hidden="0" customHeight="1">
      <x:c r="A19" s="32" t="n">
        <x:v>4</x:v>
      </x:c>
      <x:c r="B19" s="29" t="str">
        <x:v>Proof + Referral</x:v>
      </x:c>
      <x:c r="C19" s="41" t="str">
        <x:v>Turn first successful beta user into mini case study</x:v>
      </x:c>
      <x:c r="D19" s="29" t="str">
        <x:v>Proof</x:v>
      </x:c>
      <x:c r="E19" s="47" t="str"/>
      <x:c r="F19" s="47" t="str">
        <x:v>High</x:v>
      </x:c>
      <x:c r="G19" s="47" t="str">
        <x:v>Not Started</x:v>
      </x:c>
      <x:c r="H19" s="56"/>
      <x:c r="I19" s="49" t="str"/>
    </x:row>
    <x:row r="20" ht="15" hidden="0" customHeight="1">
      <x:c r="A20" s="32" t="n">
        <x:v>4</x:v>
      </x:c>
      <x:c r="B20" s="29" t="str">
        <x:v>Proof + Referral</x:v>
      </x:c>
      <x:c r="C20" s="41" t="str">
        <x:v>Ask every activated beta user for one referral</x:v>
      </x:c>
      <x:c r="D20" s="29" t="str">
        <x:v>Referral</x:v>
      </x:c>
      <x:c r="E20" s="47" t="str"/>
      <x:c r="F20" s="47" t="str">
        <x:v>High</x:v>
      </x:c>
      <x:c r="G20" s="47" t="str">
        <x:v>Not Started</x:v>
      </x:c>
      <x:c r="H20" s="56"/>
      <x:c r="I20" s="49" t="str"/>
    </x:row>
    <x:row r="21" ht="15" hidden="0" customHeight="1">
      <x:c r="A21" s="32" t="n">
        <x:v>4</x:v>
      </x:c>
      <x:c r="B21" s="29" t="str">
        <x:v>Proof + Referral</x:v>
      </x:c>
      <x:c r="C21" s="41" t="str">
        <x:v>Publish what we learned from first beta translations</x:v>
      </x:c>
      <x:c r="D21" s="29" t="str">
        <x:v>Content</x:v>
      </x:c>
      <x:c r="E21" s="47" t="str"/>
      <x:c r="F21" s="47" t="str">
        <x:v>Medium</x:v>
      </x:c>
      <x:c r="G21" s="47" t="str">
        <x:v>Not Started</x:v>
      </x:c>
      <x:c r="H21" s="56"/>
      <x:c r="I21" s="49" t="str"/>
    </x:row>
    <x:row r="22" ht="15" hidden="0" customHeight="1">
      <x:c r="A22" s="33" t="n">
        <x:v>4</x:v>
      </x:c>
      <x:c r="B22" s="30" t="str">
        <x:v>Proof + Referral</x:v>
      </x:c>
      <x:c r="C22" s="42" t="str">
        <x:v>Review CAC, application quality, activation, and shared proof</x:v>
      </x:c>
      <x:c r="D22" s="30" t="str">
        <x:v>Analytics</x:v>
      </x:c>
      <x:c r="E22" s="51" t="str"/>
      <x:c r="F22" s="51" t="str">
        <x:v>High</x:v>
      </x:c>
      <x:c r="G22" s="51" t="str">
        <x:v>Not Started</x:v>
      </x:c>
      <x:c r="H22" s="57"/>
      <x:c r="I22" s="53" t="str"/>
    </x:row>
  </x:sheetData>
  <x:mergeCells>
    <x:mergeCell ref="A1:I1"/>
    <x:mergeCell ref="A2:H2"/>
  </x:mergeCells>
  <x:conditionalFormatting sqref="G5:G22">
    <x:cfRule type="containsText" dxfId="11" priority="1" operator="containsText" text="Done"/>
    <x:cfRule type="containsText" dxfId="12" priority="2" operator="containsText" text="In Progress"/>
    <x:cfRule type="containsText" dxfId="13" priority="3" operator="containsText" text="Blocked"/>
  </x:conditionalFormatting>
  <x:dataValidations count="2">
    <x:dataValidation type="list" sqref="F5:F22">
      <x:formula1>"High,Medium,Low"</x:formula1>
    </x:dataValidation>
    <x:dataValidation type="list" sqref="G5:G22">
      <x:formula1>"Not Started,In Progress,Blocked,Done,Skipped"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94a16178f149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13" hidden="0" customWidth="1"/>
    <x:col min="7" max="7" width="15" hidden="0" customWidth="1"/>
    <x:col min="8" max="8" width="12" hidden="0" customWidth="1"/>
  </x:cols>
  <x:sheetData>
    <x:row r="1" ht="19.200000762939453" hidden="0" customHeight="1">
      <x:c r="A1" s="4" t="str">
        <x:v>Campaign Lists And Scoring Rules</x:v>
      </x:c>
      <x:c r="B1" s="4" t="str">
        <x:v>Campaign Lists And Scoring Rules</x:v>
      </x:c>
      <x:c r="C1" s="4" t="str">
        <x:v>Campaign Lists And Scoring Rules</x:v>
      </x:c>
      <x:c r="D1" s="4" t="str">
        <x:v>Campaign Lists And Scoring Rules</x:v>
      </x:c>
      <x:c r="E1" s="4" t="str">
        <x:v>Campaign Lists And Scoring Rules</x:v>
      </x:c>
      <x:c r="F1" s="4" t="str">
        <x:v>Campaign Lists And Scoring Rules</x:v>
      </x:c>
      <x:c r="G1" s="4" t="str">
        <x:v>Campaign Lists And Scoring Rules</x:v>
      </x:c>
      <x:c r="H1" s="4" t="str">
        <x:v>Campaign Lists And Scoring Rules</x:v>
      </x:c>
    </x:row>
    <x:row r="2" ht="15" hidden="0" customHeight="1">
      <x:c r="A2" s="8" t="str">
        <x:v>Reference values used for dropdowns, CRM scoring, and campaign definitions.</x:v>
      </x:c>
      <x:c r="B2" s="8" t="str">
        <x:v>Reference values used for dropdowns, CRM scoring, and campaign definitions.</x:v>
      </x:c>
      <x:c r="C2" s="8" t="str">
        <x:v>Reference values used for dropdowns, CRM scoring, and campaign definitions.</x:v>
      </x:c>
      <x:c r="D2" s="8" t="str">
        <x:v>Reference values used for dropdowns, CRM scoring, and campaign definitions.</x:v>
      </x:c>
      <x:c r="E2" s="8" t="str">
        <x:v>Reference values used for dropdowns, CRM scoring, and campaign definitions.</x:v>
      </x:c>
      <x:c r="F2" s="8" t="str">
        <x:v>Reference values used for dropdowns, CRM scoring, and campaign definitions.</x:v>
      </x:c>
      <x:c r="G2" s="8" t="str">
        <x:v>Reference values used for dropdowns, CRM scoring, and campaign definitions.</x:v>
      </x:c>
      <x:c r="H2" s="8" t="str">
        <x:v>Reference values used for dropdowns, CRM scoring, and campaign definitions.</x:v>
      </x:c>
    </x:row>
    <x:row r="3"/>
    <x:row r="4" ht="15" hidden="0" customHeight="1">
      <x:c r="A4" s="61" t="str">
        <x:v>Sources</x:v>
      </x:c>
      <x:c r="B4" s="62" t="str">
        <x:v>Designer Status</x:v>
      </x:c>
      <x:c r="C4" s="62" t="str">
        <x:v>Partner Type</x:v>
      </x:c>
      <x:c r="D4" s="62" t="str">
        <x:v>Partner Status</x:v>
      </x:c>
      <x:c r="E4" s="62" t="str">
        <x:v>Selling Platform</x:v>
      </x:c>
      <x:c r="F4" s="62" t="str">
        <x:v>Yes / No</x:v>
      </x:c>
      <x:c r="G4" s="62" t="str">
        <x:v>Task Status</x:v>
      </x:c>
      <x:c r="H4" s="63" t="str">
        <x:v>Priority</x:v>
      </x:c>
    </x:row>
    <x:row r="5" ht="15" hidden="0" customHeight="1">
      <x:c r="A5" s="64" t="str">
        <x:v>Instagram Bio</x:v>
      </x:c>
      <x:c r="B5" s="65" t="str">
        <x:v>Prospect</x:v>
      </x:c>
      <x:c r="C5" s="65" t="str">
        <x:v>Technical Editor</x:v>
      </x:c>
      <x:c r="D5" s="65" t="str">
        <x:v>Prospect</x:v>
      </x:c>
      <x:c r="E5" s="65" t="str">
        <x:v>Ravelry</x:v>
      </x:c>
      <x:c r="F5" s="65" t="str">
        <x:v>Yes</x:v>
      </x:c>
      <x:c r="G5" s="65" t="str">
        <x:v>Not Started</x:v>
      </x:c>
      <x:c r="H5" s="66" t="str">
        <x:v>High</x:v>
      </x:c>
    </x:row>
    <x:row r="6" ht="15" hidden="0" customHeight="1">
      <x:c r="A6" s="64" t="str">
        <x:v>Instagram DM</x:v>
      </x:c>
      <x:c r="B6" s="65" t="str">
        <x:v>DM Sent</x:v>
      </x:c>
      <x:c r="C6" s="65" t="str">
        <x:v>Pattern Educator</x:v>
      </x:c>
      <x:c r="D6" s="65" t="str">
        <x:v>Email Sent</x:v>
      </x:c>
      <x:c r="E6" s="65" t="str">
        <x:v>Etsy</x:v>
      </x:c>
      <x:c r="F6" s="65" t="str">
        <x:v>No</x:v>
      </x:c>
      <x:c r="G6" s="65" t="str">
        <x:v>In Progress</x:v>
      </x:c>
      <x:c r="H6" s="66" t="str">
        <x:v>Medium</x:v>
      </x:c>
    </x:row>
    <x:row r="7" ht="15" hidden="0" customHeight="1">
      <x:c r="A7" s="64" t="str">
        <x:v>Instagram Reels</x:v>
      </x:c>
      <x:c r="B7" s="65" t="str">
        <x:v>Replied</x:v>
      </x:c>
      <x:c r="C7" s="65" t="str">
        <x:v>Yarn Shop</x:v>
      </x:c>
      <x:c r="D7" s="65" t="str">
        <x:v>Replied</x:v>
      </x:c>
      <x:c r="E7" s="65" t="str">
        <x:v>Shopify</x:v>
      </x:c>
      <x:c r="F7" s="65" t="str">
        <x:v>Unknown</x:v>
      </x:c>
      <x:c r="G7" s="65" t="str">
        <x:v>Blocked</x:v>
      </x:c>
      <x:c r="H7" s="66" t="str">
        <x:v>Low</x:v>
      </x:c>
    </x:row>
    <x:row r="8" ht="15" hidden="0" customHeight="1">
      <x:c r="A8" s="64" t="str">
        <x:v>Pinterest Organic</x:v>
      </x:c>
      <x:c r="B8" s="65" t="str">
        <x:v>Applied</x:v>
      </x:c>
      <x:c r="C8" s="65" t="str">
        <x:v>Craft Newsletter</x:v>
      </x:c>
      <x:c r="D8" s="65" t="str">
        <x:v>Mention Scheduled</x:v>
      </x:c>
      <x:c r="E8" s="65" t="str">
        <x:v>Gumroad</x:v>
      </x:c>
      <x:c r="F8" s="65"/>
      <x:c r="G8" s="65" t="str">
        <x:v>Done</x:v>
      </x:c>
      <x:c r="H8" s="66"/>
    </x:row>
    <x:row r="9" ht="15" hidden="0" customHeight="1">
      <x:c r="A9" s="64" t="str">
        <x:v>Pinterest Paid</x:v>
      </x:c>
      <x:c r="B9" s="65" t="str">
        <x:v>Qualified</x:v>
      </x:c>
      <x:c r="C9" s="65" t="str">
        <x:v>Designer Community</x:v>
      </x:c>
      <x:c r="D9" s="65" t="str">
        <x:v>Mention Live</x:v>
      </x:c>
      <x:c r="E9" s="65" t="str">
        <x:v>Payhip</x:v>
      </x:c>
      <x:c r="F9" s="65"/>
      <x:c r="G9" s="65" t="str">
        <x:v>Skipped</x:v>
      </x:c>
      <x:c r="H9" s="66"/>
    </x:row>
    <x:row r="10" ht="15" hidden="0" customHeight="1">
      <x:c r="A10" s="64" t="str">
        <x:v>Partner Outreach</x:v>
      </x:c>
      <x:c r="B10" s="65" t="str">
        <x:v>Approved</x:v>
      </x:c>
      <x:c r="C10" s="65" t="str">
        <x:v>Publisher</x:v>
      </x:c>
      <x:c r="D10" s="65" t="str">
        <x:v>Partner Active</x:v>
      </x:c>
      <x:c r="E10" s="65" t="str">
        <x:v>Own Site</x:v>
      </x:c>
      <x:c r="F10" s="65"/>
      <x:c r="G10" s="65"/>
      <x:c r="H10" s="66"/>
    </x:row>
    <x:row r="11" ht="15" hidden="0" customHeight="1">
      <x:c r="A11" s="64" t="str">
        <x:v>Ravelry/Community</x:v>
      </x:c>
      <x:c r="B11" s="65" t="str">
        <x:v>Activated</x:v>
      </x:c>
      <x:c r="C11" s="65" t="str">
        <x:v>Other</x:v>
      </x:c>
      <x:c r="D11" s="65" t="str">
        <x:v>Not Fit</x:v>
      </x:c>
      <x:c r="E11" s="65" t="str">
        <x:v>Multiple</x:v>
      </x:c>
      <x:c r="F11" s="65"/>
      <x:c r="G11" s="65"/>
      <x:c r="H11" s="66"/>
    </x:row>
    <x:row r="12" ht="15" hidden="0" customHeight="1">
      <x:c r="A12" s="64" t="str">
        <x:v>Referral</x:v>
      </x:c>
      <x:c r="B12" s="65" t="str">
        <x:v>Translated</x:v>
      </x:c>
      <x:c r="C12" s="65"/>
      <x:c r="D12" s="65" t="str">
        <x:v>No Reply</x:v>
      </x:c>
      <x:c r="E12" s="65" t="str">
        <x:v>Other</x:v>
      </x:c>
      <x:c r="F12" s="65"/>
      <x:c r="G12" s="65"/>
      <x:c r="H12" s="66"/>
    </x:row>
    <x:row r="13" ht="15" hidden="0" customHeight="1">
      <x:c r="A13" s="64" t="str">
        <x:v>Waitlist</x:v>
      </x:c>
      <x:c r="B13" s="65" t="str">
        <x:v>Shared Proof</x:v>
      </x:c>
      <x:c r="C13" s="65"/>
      <x:c r="D13" s="65"/>
      <x:c r="E13" s="65"/>
      <x:c r="F13" s="65"/>
      <x:c r="G13" s="65"/>
      <x:c r="H13" s="66"/>
    </x:row>
    <x:row r="14" ht="15" hidden="0" customHeight="1">
      <x:c r="A14" s="64" t="str">
        <x:v>Website</x:v>
      </x:c>
      <x:c r="B14" s="65" t="str">
        <x:v>Referral Asked</x:v>
      </x:c>
      <x:c r="C14" s="65"/>
      <x:c r="D14" s="65"/>
      <x:c r="E14" s="65"/>
      <x:c r="F14" s="65"/>
      <x:c r="G14" s="65"/>
      <x:c r="H14" s="66"/>
    </x:row>
    <x:row r="15" ht="15" hidden="0" customHeight="1">
      <x:c r="A15" s="64" t="str">
        <x:v>Other</x:v>
      </x:c>
      <x:c r="B15" s="65" t="str">
        <x:v>Paid</x:v>
      </x:c>
      <x:c r="C15" s="65"/>
      <x:c r="D15" s="65"/>
      <x:c r="E15" s="65"/>
      <x:c r="F15" s="65"/>
      <x:c r="G15" s="65"/>
      <x:c r="H15" s="66"/>
    </x:row>
    <x:row r="16" ht="15" hidden="0" customHeight="1">
      <x:c r="A16" s="64"/>
      <x:c r="B16" s="65" t="str">
        <x:v>Nurture</x:v>
      </x:c>
      <x:c r="C16" s="65"/>
      <x:c r="D16" s="65"/>
      <x:c r="E16" s="65"/>
      <x:c r="F16" s="65"/>
      <x:c r="G16" s="65"/>
      <x:c r="H16" s="66"/>
    </x:row>
    <x:row r="17" ht="15" hidden="0" customHeight="1">
      <x:c r="A17" s="64"/>
      <x:c r="B17" s="65" t="str">
        <x:v>Not Fit</x:v>
      </x:c>
      <x:c r="C17" s="65"/>
      <x:c r="D17" s="65"/>
      <x:c r="E17" s="65"/>
      <x:c r="F17" s="65"/>
      <x:c r="G17" s="65"/>
      <x:c r="H17" s="66"/>
    </x:row>
    <x:row r="18" ht="15" hidden="0" customHeight="1">
      <x:c r="A18" s="67"/>
      <x:c r="B18" s="68" t="str">
        <x:v>No Reply</x:v>
      </x:c>
      <x:c r="C18" s="68"/>
      <x:c r="D18" s="68"/>
      <x:c r="E18" s="68"/>
      <x:c r="F18" s="68"/>
      <x:c r="G18" s="68"/>
      <x:c r="H18" s="69"/>
    </x:row>
    <x:row r="19"/>
    <x:row r="20"/>
    <x:row r="21" ht="15" hidden="0" customHeight="1">
      <x:c r="A21" s="20" t="str">
        <x:v>Best-fit score rules</x:v>
      </x:c>
      <x:c r="B21" s="22" t="str">
        <x:v>Points</x:v>
      </x:c>
    </x:row>
    <x:row r="22" ht="15" hidden="0" customHeight="1">
      <x:c r="A22" s="28" t="str">
        <x:v>Pattern Strength input</x:v>
      </x:c>
      <x:c r="B22" s="28" t="str">
        <x:v>0-5</x:v>
      </x:c>
    </x:row>
    <x:row r="23" ht="15" hidden="0" customHeight="1">
      <x:c r="A23" s="29" t="str">
        <x:v>Audience Strength input</x:v>
      </x:c>
      <x:c r="B23" s="29" t="str">
        <x:v>0-5</x:v>
      </x:c>
    </x:row>
    <x:row r="24" ht="15" hidden="0" customHeight="1">
      <x:c r="A24" s="29" t="str">
        <x:v>Owns rights = Yes</x:v>
      </x:c>
      <x:c r="B24" s="32" t="n">
        <x:v>3</x:v>
      </x:c>
    </x:row>
    <x:row r="25" ht="15" hidden="0" customHeight="1">
      <x:c r="A25" s="29" t="str">
        <x:v>Release plan = Yes</x:v>
      </x:c>
      <x:c r="B25" s="32" t="n">
        <x:v>3</x:v>
      </x:c>
    </x:row>
    <x:row r="26" ht="15" hidden="0" customHeight="1">
      <x:c r="A26" s="29" t="str">
        <x:v>Can review = Yes</x:v>
      </x:c>
      <x:c r="B26" s="32" t="n">
        <x:v>2</x:v>
      </x:c>
    </x:row>
    <x:row r="27" ht="15" hidden="0" customHeight="1">
      <x:c r="A27" s="29" t="str">
        <x:v>Public proof = Yes</x:v>
      </x:c>
      <x:c r="B27" s="32" t="n">
        <x:v>2</x:v>
      </x:c>
    </x:row>
    <x:row r="28" ht="15" hidden="0" customHeight="1">
      <x:c r="A28" s="29" t="str">
        <x:v>Qualified threshold</x:v>
      </x:c>
      <x:c r="B28" s="29" t="str">
        <x:v>15+</x:v>
      </x:c>
    </x:row>
    <x:row r="29" ht="15" hidden="0" customHeight="1">
      <x:c r="A29" s="29" t="str">
        <x:v>Maybe threshold</x:v>
      </x:c>
      <x:c r="B29" s="29" t="str">
        <x:v>10-14</x:v>
      </x:c>
    </x:row>
    <x:row r="30" ht="15" hidden="0" customHeight="1">
      <x:c r="A30" s="30" t="str">
        <x:v>Low fit threshold</x:v>
      </x:c>
      <x:c r="B30" s="30" t="str">
        <x:v>0-9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2" hidden="0" customWidth="1"/>
    <x:col min="6" max="6" width="24" hidden="0" customWidth="1"/>
    <x:col min="7" max="7" width="14" hidden="0" customWidth="1"/>
    <x:col min="8" max="8" width="14" hidden="0" customWidth="1"/>
    <x:col min="9" max="9" width="2" hidden="0" customWidth="1"/>
    <x:col min="10" max="10" width="24" hidden="0" customWidth="1"/>
    <x:col min="11" max="11" width="14" hidden="0" customWidth="1"/>
    <x:col min="12" max="12" width="14" hidden="0" customWidth="1"/>
  </x:cols>
  <x:sheetData>
    <x:row r="1" ht="19.200000762939453" hidden="0" customHeight="1">
      <x:c r="A1" s="4" t="str">
        <x:v>StitchSpeak Beta Campaign Dashboard</x:v>
      </x:c>
      <x:c r="B1" s="4" t="str">
        <x:v>StitchSpeak Beta Campaign Dashboard</x:v>
      </x:c>
      <x:c r="C1" s="4" t="str">
        <x:v>StitchSpeak Beta Campaign Dashboard</x:v>
      </x:c>
      <x:c r="D1" s="4" t="str">
        <x:v>StitchSpeak Beta Campaign Dashboard</x:v>
      </x:c>
      <x:c r="E1" s="4" t="str">
        <x:v>StitchSpeak Beta Campaign Dashboard</x:v>
      </x:c>
      <x:c r="F1" s="4" t="str">
        <x:v>StitchSpeak Beta Campaign Dashboard</x:v>
      </x:c>
      <x:c r="G1" s="4" t="str">
        <x:v>StitchSpeak Beta Campaign Dashboard</x:v>
      </x:c>
      <x:c r="H1" s="4" t="str">
        <x:v>StitchSpeak Beta Campaign Dashboard</x:v>
      </x:c>
      <x:c r="I1" s="4" t="str">
        <x:v>StitchSpeak Beta Campaign Dashboard</x:v>
      </x:c>
      <x:c r="J1" s="4" t="str">
        <x:v>StitchSpeak Beta Campaign Dashboard</x:v>
      </x:c>
      <x:c r="K1" s="4" t="str">
        <x:v>StitchSpeak Beta Campaign Dashboard</x:v>
      </x:c>
      <x:c r="L1" s="4" t="str">
        <x:v>StitchSpeak Beta Campaign Dashboard</x:v>
      </x:c>
    </x:row>
    <x:row r="2" ht="15" hidden="0" customHeight="1">
      <x:c r="A2" s="8" t="str">
        <x:v>Live overview driven by the Designer CRM, Partner CRM, and Campaign Tasks tabs.</x:v>
      </x:c>
      <x:c r="B2" s="8" t="str">
        <x:v>Live overview driven by the Designer CRM, Partner CRM, and Campaign Tasks tabs.</x:v>
      </x:c>
      <x:c r="C2" s="8" t="str">
        <x:v>Live overview driven by the Designer CRM, Partner CRM, and Campaign Tasks tabs.</x:v>
      </x:c>
      <x:c r="D2" s="8" t="str">
        <x:v>Live overview driven by the Designer CRM, Partner CRM, and Campaign Tasks tabs.</x:v>
      </x:c>
      <x:c r="E2" s="8" t="str">
        <x:v>Live overview driven by the Designer CRM, Partner CRM, and Campaign Tasks tabs.</x:v>
      </x:c>
      <x:c r="F2" s="8" t="str">
        <x:v>Live overview driven by the Designer CRM, Partner CRM, and Campaign Tasks tabs.</x:v>
      </x:c>
      <x:c r="G2" s="8" t="str">
        <x:v>Live overview driven by the Designer CRM, Partner CRM, and Campaign Tasks tabs.</x:v>
      </x:c>
      <x:c r="H2" s="8" t="str">
        <x:v>Live overview driven by the Designer CRM, Partner CRM, and Campaign Tasks tabs.</x:v>
      </x:c>
    </x:row>
    <x:row r="3"/>
    <x:row r="4" ht="16.799999237060547" hidden="0" customHeight="1">
      <x:c r="A4" s="78" t="str">
        <x:v>Total Prospects</x:v>
      </x:c>
      <x:c r="B4" s="89" t="n">
        <x:f>COUNTA('Designer CRM'!$B$5:$B$154)</x:f>
        <x:v>0</x:v>
      </x:c>
      <x:c r="C4" s="95" t="str">
        <x:v>Track 50</x:v>
      </x:c>
      <x:c r="F4" s="20" t="str">
        <x:v>Funnel Stage</x:v>
      </x:c>
      <x:c r="G4" s="21" t="str">
        <x:v>Count</x:v>
      </x:c>
      <x:c r="H4" s="22" t="str">
        <x:v>From Prior</x:v>
      </x:c>
      <x:c r="J4" s="20" t="str">
        <x:v>Source</x:v>
      </x:c>
      <x:c r="K4" s="21" t="str">
        <x:v>Prospects</x:v>
      </x:c>
      <x:c r="L4" s="22" t="str">
        <x:v>Applied+</x:v>
      </x:c>
    </x:row>
    <x:row r="5" ht="16.799999237060547" hidden="0" customHeight="1">
      <x:c r="A5" s="79" t="str">
        <x:v>DMs Sent</x:v>
      </x:c>
      <x:c r="B5" s="90" t="n">
        <x:f>COUNTIF('Designer CRM'!$S$5:$S$154,"DM Sent")+COUNTIF('Designer CRM'!$S$5:$S$154,"Replied")+COUNTIF('Designer CRM'!$S$5:$S$154,"Applied")+COUNTIF('Designer CRM'!$S$5:$S$154,"Qualified")+COUNTIF('Designer CRM'!$S$5:$S$154,"Approved")+COUNTIF('Designer CRM'!$S$5:$S$154,"Activated")+COUNTIF('Designer CRM'!$S$5:$S$154,"Translated")+COUNTIF('Designer CRM'!$S$5:$S$154,"Shared Proof")</x:f>
        <x:v>0</x:v>
      </x:c>
      <x:c r="C5" s="96" t="str">
        <x:v>Send 50</x:v>
      </x:c>
      <x:c r="F5" s="28" t="str">
        <x:v>Prospects</x:v>
      </x:c>
      <x:c r="G5" s="34" t="n">
        <x:f>COUNTA('Designer CRM'!$B$5:$B$154)</x:f>
        <x:v>0</x:v>
      </x:c>
      <x:c r="H5" s="98"/>
      <x:c r="J5" s="28" t="str">
        <x:v>Instagram Bio</x:v>
      </x:c>
      <x:c r="K5" s="34" t="n">
        <x:f>COUNTIF('Designer CRM'!$F$5:$F$154,"Instagram Bio")</x:f>
        <x:v>0</x:v>
      </x:c>
      <x:c r="L5" s="34" t="n">
        <x:f>COUNTIFS('Designer CRM'!$F$5:$F$154,"Instagram Bio",'Designer CRM'!$S$5:$S$154,"Applied")+COUNTIFS('Designer CRM'!$F$5:$F$154,"Instagram Bio",'Designer CRM'!$S$5:$S$154,"Qualified")+COUNTIFS('Designer CRM'!$F$5:$F$154,"Instagram Bio",'Designer CRM'!$S$5:$S$154,"Approved")+COUNTIFS('Designer CRM'!$F$5:$F$154,"Instagram Bio",'Designer CRM'!$S$5:$S$154,"Activated")+COUNTIFS('Designer CRM'!$F$5:$F$154,"Instagram Bio",'Designer CRM'!$S$5:$S$154,"Translated")+COUNTIFS('Designer CRM'!$F$5:$F$154,"Instagram Bio",'Designer CRM'!$S$5:$S$154,"Shared Proof")</x:f>
        <x:v>0</x:v>
      </x:c>
    </x:row>
    <x:row r="6" ht="16.799999237060547" hidden="0" customHeight="1">
      <x:c r="A6" s="79" t="str">
        <x:v>Applications</x:v>
      </x:c>
      <x:c r="B6" s="90" t="n">
        <x:f>COUNTIF('Designer CRM'!$S$5:$S$154,"Applied")+COUNTIF('Designer CRM'!$S$5:$S$154,"Qualified")+COUNTIF('Designer CRM'!$S$5:$S$154,"Approved")+COUNTIF('Designer CRM'!$S$5:$S$154,"Activated")+COUNTIF('Designer CRM'!$S$5:$S$154,"Translated")+COUNTIF('Designer CRM'!$S$5:$S$154,"Shared Proof")</x:f>
        <x:v>0</x:v>
      </x:c>
      <x:c r="C6" s="96" t="str">
        <x:v>10-20% landing</x:v>
      </x:c>
      <x:c r="F6" s="29" t="str">
        <x:v>DM Sent+</x:v>
      </x:c>
      <x:c r="G6" s="35" t="n">
        <x:f>B5</x:f>
        <x:v>0</x:v>
      </x:c>
      <x:c r="H6" s="99" t="str">
        <x:f>IF(G5=0,"",G6/G5)</x:f>
      </x:c>
      <x:c r="J6" s="29" t="str">
        <x:v>Instagram DM</x:v>
      </x:c>
      <x:c r="K6" s="35" t="n">
        <x:f>COUNTIF('Designer CRM'!$F$5:$F$154,"Instagram DM")</x:f>
        <x:v>0</x:v>
      </x:c>
      <x:c r="L6" s="35" t="n">
        <x:f>COUNTIFS('Designer CRM'!$F$5:$F$154,"Instagram DM",'Designer CRM'!$S$5:$S$154,"Applied")+COUNTIFS('Designer CRM'!$F$5:$F$154,"Instagram DM",'Designer CRM'!$S$5:$S$154,"Qualified")+COUNTIFS('Designer CRM'!$F$5:$F$154,"Instagram DM",'Designer CRM'!$S$5:$S$154,"Approved")+COUNTIFS('Designer CRM'!$F$5:$F$154,"Instagram DM",'Designer CRM'!$S$5:$S$154,"Activated")+COUNTIFS('Designer CRM'!$F$5:$F$154,"Instagram DM",'Designer CRM'!$S$5:$S$154,"Translated")+COUNTIFS('Designer CRM'!$F$5:$F$154,"Instagram DM",'Designer CRM'!$S$5:$S$154,"Shared Proof")</x:f>
        <x:v>0</x:v>
      </x:c>
    </x:row>
    <x:row r="7" ht="16.799999237060547" hidden="0" customHeight="1">
      <x:c r="A7" s="79" t="str">
        <x:v>Approved</x:v>
      </x:c>
      <x:c r="B7" s="90" t="n">
        <x:f>COUNTIF('Designer CRM'!$S$5:$S$154,"Approved")+COUNTIF('Designer CRM'!$S$5:$S$154,"Activated")+COUNTIF('Designer CRM'!$S$5:$S$154,"Translated")+COUNTIF('Designer CRM'!$S$5:$S$154,"Shared Proof")</x:f>
        <x:v>0</x:v>
      </x:c>
      <x:c r="C7" s="96" t="str">
        <x:v>5-10 beta</x:v>
      </x:c>
      <x:c r="F7" s="29" t="str">
        <x:v>Replied+</x:v>
      </x:c>
      <x:c r="G7" s="35" t="n">
        <x:f>COUNTIF('Designer CRM'!$S$5:$S$154,"Replied")+COUNTIF('Designer CRM'!$S$5:$S$154,"Applied")+COUNTIF('Designer CRM'!$S$5:$S$154,"Qualified")+COUNTIF('Designer CRM'!$S$5:$S$154,"Approved")+COUNTIF('Designer CRM'!$S$5:$S$154,"Activated")+COUNTIF('Designer CRM'!$S$5:$S$154,"Translated")+COUNTIF('Designer CRM'!$S$5:$S$154,"Shared Proof")</x:f>
        <x:v>0</x:v>
      </x:c>
      <x:c r="H7" s="99" t="str">
        <x:f>IF(G6=0,"",G7/G6)</x:f>
      </x:c>
      <x:c r="J7" s="29" t="str">
        <x:v>Instagram Reels</x:v>
      </x:c>
      <x:c r="K7" s="35" t="n">
        <x:f>COUNTIF('Designer CRM'!$F$5:$F$154,"Instagram Reels")</x:f>
        <x:v>0</x:v>
      </x:c>
      <x:c r="L7" s="35" t="n">
        <x:f>COUNTIFS('Designer CRM'!$F$5:$F$154,"Instagram Reels",'Designer CRM'!$S$5:$S$154,"Applied")+COUNTIFS('Designer CRM'!$F$5:$F$154,"Instagram Reels",'Designer CRM'!$S$5:$S$154,"Qualified")+COUNTIFS('Designer CRM'!$F$5:$F$154,"Instagram Reels",'Designer CRM'!$S$5:$S$154,"Approved")+COUNTIFS('Designer CRM'!$F$5:$F$154,"Instagram Reels",'Designer CRM'!$S$5:$S$154,"Activated")+COUNTIFS('Designer CRM'!$F$5:$F$154,"Instagram Reels",'Designer CRM'!$S$5:$S$154,"Translated")+COUNTIFS('Designer CRM'!$F$5:$F$154,"Instagram Reels",'Designer CRM'!$S$5:$S$154,"Shared Proof")</x:f>
        <x:v>0</x:v>
      </x:c>
    </x:row>
    <x:row r="8" ht="16.799999237060547" hidden="0" customHeight="1">
      <x:c r="A8" s="79" t="str">
        <x:v>First Uploads</x:v>
      </x:c>
      <x:c r="B8" s="90" t="n">
        <x:f>COUNTA('Designer CRM'!$X$5:$X$154)</x:f>
        <x:v>0</x:v>
      </x:c>
      <x:c r="C8" s="96" t="str">
        <x:v>60%+ in 7 days</x:v>
      </x:c>
      <x:c r="F8" s="29" t="str">
        <x:v>Applied+</x:v>
      </x:c>
      <x:c r="G8" s="35" t="n">
        <x:f>B6</x:f>
        <x:v>0</x:v>
      </x:c>
      <x:c r="H8" s="99" t="str">
        <x:f>IF(G7=0,"",G8/G7)</x:f>
      </x:c>
      <x:c r="J8" s="29" t="str">
        <x:v>Pinterest Organic</x:v>
      </x:c>
      <x:c r="K8" s="35" t="n">
        <x:f>COUNTIF('Designer CRM'!$F$5:$F$154,"Pinterest Organic")</x:f>
        <x:v>0</x:v>
      </x:c>
      <x:c r="L8" s="35" t="n">
        <x:f>COUNTIFS('Designer CRM'!$F$5:$F$154,"Pinterest Organic",'Designer CRM'!$S$5:$S$154,"Applied")+COUNTIFS('Designer CRM'!$F$5:$F$154,"Pinterest Organic",'Designer CRM'!$S$5:$S$154,"Qualified")+COUNTIFS('Designer CRM'!$F$5:$F$154,"Pinterest Organic",'Designer CRM'!$S$5:$S$154,"Approved")+COUNTIFS('Designer CRM'!$F$5:$F$154,"Pinterest Organic",'Designer CRM'!$S$5:$S$154,"Activated")+COUNTIFS('Designer CRM'!$F$5:$F$154,"Pinterest Organic",'Designer CRM'!$S$5:$S$154,"Translated")+COUNTIFS('Designer CRM'!$F$5:$F$154,"Pinterest Organic",'Designer CRM'!$S$5:$S$154,"Shared Proof")</x:f>
        <x:v>0</x:v>
      </x:c>
    </x:row>
    <x:row r="9" ht="16.799999237060547" hidden="0" customHeight="1">
      <x:c r="A9" s="79" t="str">
        <x:v>First Translations</x:v>
      </x:c>
      <x:c r="B9" s="90" t="n">
        <x:f>COUNTA('Designer CRM'!$Y$5:$Y$154)</x:f>
        <x:v>0</x:v>
      </x:c>
      <x:c r="C9" s="96" t="str">
        <x:v>Activation</x:v>
      </x:c>
      <x:c r="F9" s="29" t="str">
        <x:v>Approved+</x:v>
      </x:c>
      <x:c r="G9" s="35" t="n">
        <x:f>B7</x:f>
        <x:v>0</x:v>
      </x:c>
      <x:c r="H9" s="99" t="str">
        <x:f>IF(G8=0,"",G9/G8)</x:f>
      </x:c>
      <x:c r="J9" s="29" t="str">
        <x:v>Pinterest Paid</x:v>
      </x:c>
      <x:c r="K9" s="35" t="n">
        <x:f>COUNTIF('Designer CRM'!$F$5:$F$154,"Pinterest Paid")</x:f>
        <x:v>0</x:v>
      </x:c>
      <x:c r="L9" s="35" t="n">
        <x:f>COUNTIFS('Designer CRM'!$F$5:$F$154,"Pinterest Paid",'Designer CRM'!$S$5:$S$154,"Applied")+COUNTIFS('Designer CRM'!$F$5:$F$154,"Pinterest Paid",'Designer CRM'!$S$5:$S$154,"Qualified")+COUNTIFS('Designer CRM'!$F$5:$F$154,"Pinterest Paid",'Designer CRM'!$S$5:$S$154,"Approved")+COUNTIFS('Designer CRM'!$F$5:$F$154,"Pinterest Paid",'Designer CRM'!$S$5:$S$154,"Activated")+COUNTIFS('Designer CRM'!$F$5:$F$154,"Pinterest Paid",'Designer CRM'!$S$5:$S$154,"Translated")+COUNTIFS('Designer CRM'!$F$5:$F$154,"Pinterest Paid",'Designer CRM'!$S$5:$S$154,"Shared Proof")</x:f>
        <x:v>0</x:v>
      </x:c>
    </x:row>
    <x:row r="10" ht="16.799999237060547" hidden="0" customHeight="1">
      <x:c r="A10" s="79" t="str">
        <x:v>Public Proof</x:v>
      </x:c>
      <x:c r="B10" s="90" t="n">
        <x:f>COUNTA('Designer CRM'!$Z$5:$Z$154)</x:f>
        <x:v>0</x:v>
      </x:c>
      <x:c r="C10" s="96" t="str">
        <x:v>30%+ share</x:v>
      </x:c>
      <x:c r="F10" s="29" t="str">
        <x:v>First Upload</x:v>
      </x:c>
      <x:c r="G10" s="35" t="n">
        <x:f>COUNTA('Designer CRM'!$X$5:$X$154)</x:f>
        <x:v>0</x:v>
      </x:c>
      <x:c r="H10" s="99" t="str">
        <x:f>IF(G9=0,"",G10/G9)</x:f>
      </x:c>
      <x:c r="J10" s="29" t="str">
        <x:v>Partner Outreach</x:v>
      </x:c>
      <x:c r="K10" s="35" t="n">
        <x:f>COUNTIF('Designer CRM'!$F$5:$F$154,"Partner Outreach")</x:f>
        <x:v>0</x:v>
      </x:c>
      <x:c r="L10" s="35" t="n">
        <x:f>COUNTIFS('Designer CRM'!$F$5:$F$154,"Partner Outreach",'Designer CRM'!$S$5:$S$154,"Applied")+COUNTIFS('Designer CRM'!$F$5:$F$154,"Partner Outreach",'Designer CRM'!$S$5:$S$154,"Qualified")+COUNTIFS('Designer CRM'!$F$5:$F$154,"Partner Outreach",'Designer CRM'!$S$5:$S$154,"Approved")+COUNTIFS('Designer CRM'!$F$5:$F$154,"Partner Outreach",'Designer CRM'!$S$5:$S$154,"Activated")+COUNTIFS('Designer CRM'!$F$5:$F$154,"Partner Outreach",'Designer CRM'!$S$5:$S$154,"Translated")+COUNTIFS('Designer CRM'!$F$5:$F$154,"Partner Outreach",'Designer CRM'!$S$5:$S$154,"Shared Proof")</x:f>
        <x:v>0</x:v>
      </x:c>
    </x:row>
    <x:row r="11" ht="16.799999237060547" hidden="0" customHeight="1">
      <x:c r="A11" s="80" t="str">
        <x:v>Referral Leads</x:v>
      </x:c>
      <x:c r="B11" s="91" t="n">
        <x:f>SUM('Designer CRM'!$AB$5:$AB$154)</x:f>
        <x:v>0</x:v>
      </x:c>
      <x:c r="C11" s="97" t="str">
        <x:v>1 per 3 activated</x:v>
      </x:c>
      <x:c r="F11" s="29" t="str">
        <x:v>First Translation</x:v>
      </x:c>
      <x:c r="G11" s="35" t="n">
        <x:f>COUNTA('Designer CRM'!$Y$5:$Y$154)</x:f>
        <x:v>0</x:v>
      </x:c>
      <x:c r="H11" s="99" t="str">
        <x:f>IF(G10=0,"",G11/G10)</x:f>
      </x:c>
      <x:c r="J11" s="29" t="str">
        <x:v>Ravelry/Community</x:v>
      </x:c>
      <x:c r="K11" s="35" t="n">
        <x:f>COUNTIF('Designer CRM'!$F$5:$F$154,"Ravelry/Community")</x:f>
        <x:v>0</x:v>
      </x:c>
      <x:c r="L11" s="35" t="n">
        <x:f>COUNTIFS('Designer CRM'!$F$5:$F$154,"Ravelry/Community",'Designer CRM'!$S$5:$S$154,"Applied")+COUNTIFS('Designer CRM'!$F$5:$F$154,"Ravelry/Community",'Designer CRM'!$S$5:$S$154,"Qualified")+COUNTIFS('Designer CRM'!$F$5:$F$154,"Ravelry/Community",'Designer CRM'!$S$5:$S$154,"Approved")+COUNTIFS('Designer CRM'!$F$5:$F$154,"Ravelry/Community",'Designer CRM'!$S$5:$S$154,"Activated")+COUNTIFS('Designer CRM'!$F$5:$F$154,"Ravelry/Community",'Designer CRM'!$S$5:$S$154,"Translated")+COUNTIFS('Designer CRM'!$F$5:$F$154,"Ravelry/Community",'Designer CRM'!$S$5:$S$154,"Shared Proof")</x:f>
        <x:v>0</x:v>
      </x:c>
    </x:row>
    <x:row r="12" ht="15" hidden="0" customHeight="1">
      <x:c r="F12" s="30" t="str">
        <x:v>Public Proof</x:v>
      </x:c>
      <x:c r="G12" s="36" t="n">
        <x:f>COUNTA('Designer CRM'!$Z$5:$Z$154)</x:f>
        <x:v>0</x:v>
      </x:c>
      <x:c r="H12" s="100" t="str">
        <x:f>IF(G11=0,"",G12/G11)</x:f>
      </x:c>
      <x:c r="J12" s="29" t="str">
        <x:v>Referral</x:v>
      </x:c>
      <x:c r="K12" s="35" t="n">
        <x:f>COUNTIF('Designer CRM'!$F$5:$F$154,"Referral")</x:f>
        <x:v>0</x:v>
      </x:c>
      <x:c r="L12" s="35" t="n">
        <x:f>COUNTIFS('Designer CRM'!$F$5:$F$154,"Referral",'Designer CRM'!$S$5:$S$154,"Applied")+COUNTIFS('Designer CRM'!$F$5:$F$154,"Referral",'Designer CRM'!$S$5:$S$154,"Qualified")+COUNTIFS('Designer CRM'!$F$5:$F$154,"Referral",'Designer CRM'!$S$5:$S$154,"Approved")+COUNTIFS('Designer CRM'!$F$5:$F$154,"Referral",'Designer CRM'!$S$5:$S$154,"Activated")+COUNTIFS('Designer CRM'!$F$5:$F$154,"Referral",'Designer CRM'!$S$5:$S$154,"Translated")+COUNTIFS('Designer CRM'!$F$5:$F$154,"Referral",'Designer CRM'!$S$5:$S$154,"Shared Proof")</x:f>
        <x:v>0</x:v>
      </x:c>
    </x:row>
    <x:row r="13" ht="15" hidden="0" customHeight="1">
      <x:c r="J13" s="29" t="str">
        <x:v>Waitlist</x:v>
      </x:c>
      <x:c r="K13" s="35" t="n">
        <x:f>COUNTIF('Designer CRM'!$F$5:$F$154,"Waitlist")</x:f>
        <x:v>0</x:v>
      </x:c>
      <x:c r="L13" s="35" t="n">
        <x:f>COUNTIFS('Designer CRM'!$F$5:$F$154,"Waitlist",'Designer CRM'!$S$5:$S$154,"Applied")+COUNTIFS('Designer CRM'!$F$5:$F$154,"Waitlist",'Designer CRM'!$S$5:$S$154,"Qualified")+COUNTIFS('Designer CRM'!$F$5:$F$154,"Waitlist",'Designer CRM'!$S$5:$S$154,"Approved")+COUNTIFS('Designer CRM'!$F$5:$F$154,"Waitlist",'Designer CRM'!$S$5:$S$154,"Activated")+COUNTIFS('Designer CRM'!$F$5:$F$154,"Waitlist",'Designer CRM'!$S$5:$S$154,"Translated")+COUNTIFS('Designer CRM'!$F$5:$F$154,"Waitlist",'Designer CRM'!$S$5:$S$154,"Shared Proof")</x:f>
        <x:v>0</x:v>
      </x:c>
    </x:row>
    <x:row r="14" ht="15" hidden="0" customHeight="1">
      <x:c r="A14" s="20" t="str">
        <x:v>Campaign Targets</x:v>
      </x:c>
      <x:c r="B14" s="21" t="str">
        <x:v>Target</x:v>
      </x:c>
      <x:c r="C14" s="22" t="str">
        <x:v>Actual</x:v>
      </x:c>
      <x:c r="J14" s="29" t="str">
        <x:v>Website</x:v>
      </x:c>
      <x:c r="K14" s="35" t="n">
        <x:f>COUNTIF('Designer CRM'!$F$5:$F$154,"Website")</x:f>
        <x:v>0</x:v>
      </x:c>
      <x:c r="L14" s="35" t="n">
        <x:f>COUNTIFS('Designer CRM'!$F$5:$F$154,"Website",'Designer CRM'!$S$5:$S$154,"Applied")+COUNTIFS('Designer CRM'!$F$5:$F$154,"Website",'Designer CRM'!$S$5:$S$154,"Qualified")+COUNTIFS('Designer CRM'!$F$5:$F$154,"Website",'Designer CRM'!$S$5:$S$154,"Approved")+COUNTIFS('Designer CRM'!$F$5:$F$154,"Website",'Designer CRM'!$S$5:$S$154,"Activated")+COUNTIFS('Designer CRM'!$F$5:$F$154,"Website",'Designer CRM'!$S$5:$S$154,"Translated")+COUNTIFS('Designer CRM'!$F$5:$F$154,"Website",'Designer CRM'!$S$5:$S$154,"Shared Proof")</x:f>
        <x:v>0</x:v>
      </x:c>
    </x:row>
    <x:row r="15" ht="15" hidden="0" customHeight="1">
      <x:c r="A15" s="28" t="str">
        <x:v>Qualified application cost</x:v>
      </x:c>
      <x:c r="B15" s="40" t="str">
        <x:v>Under EUR 15</x:v>
      </x:c>
      <x:c r="C15" s="45" t="str"/>
      <x:c r="F15" s="20" t="str">
        <x:v>Task Status</x:v>
      </x:c>
      <x:c r="G15" s="21" t="str">
        <x:v>Count</x:v>
      </x:c>
      <x:c r="H15" s="22" t="str">
        <x:v>Share</x:v>
      </x:c>
      <x:c r="J15" s="30" t="str">
        <x:v>Other</x:v>
      </x:c>
      <x:c r="K15" s="36" t="n">
        <x:f>COUNTIF('Designer CRM'!$F$5:$F$154,"Other")</x:f>
        <x:v>0</x:v>
      </x:c>
      <x:c r="L15" s="36" t="n">
        <x:f>COUNTIFS('Designer CRM'!$F$5:$F$154,"Other",'Designer CRM'!$S$5:$S$154,"Applied")+COUNTIFS('Designer CRM'!$F$5:$F$154,"Other",'Designer CRM'!$S$5:$S$154,"Qualified")+COUNTIFS('Designer CRM'!$F$5:$F$154,"Other",'Designer CRM'!$S$5:$S$154,"Approved")+COUNTIFS('Designer CRM'!$F$5:$F$154,"Other",'Designer CRM'!$S$5:$S$154,"Activated")+COUNTIFS('Designer CRM'!$F$5:$F$154,"Other",'Designer CRM'!$S$5:$S$154,"Translated")+COUNTIFS('Designer CRM'!$F$5:$F$154,"Other",'Designer CRM'!$S$5:$S$154,"Shared Proof")</x:f>
        <x:v>0</x:v>
      </x:c>
    </x:row>
    <x:row r="16" ht="24" hidden="0" customHeight="1">
      <x:c r="A16" s="29" t="str">
        <x:v>Approved applicant activation</x:v>
      </x:c>
      <x:c r="B16" s="41" t="str">
        <x:v>60%+ upload within 7 days</x:v>
      </x:c>
      <x:c r="C16" s="49" t="str"/>
      <x:c r="F16" s="28" t="str">
        <x:v>Done</x:v>
      </x:c>
      <x:c r="G16" s="34" t="n">
        <x:f>COUNTIF('Campaign Tasks'!$G$5:$G$22,F16)</x:f>
        <x:v>0</x:v>
      </x:c>
      <x:c r="H16" s="98" t="n">
        <x:f>IF(SUM($G$16:$G$19)=0,"",G16/SUM($G$16:$G$19))</x:f>
        <x:v>0</x:v>
      </x:c>
    </x:row>
    <x:row r="17" ht="24" hidden="0" customHeight="1">
      <x:c r="A17" s="29" t="str">
        <x:v>Activated beta public proof</x:v>
      </x:c>
      <x:c r="B17" s="41" t="str">
        <x:v>30%+ share within 14 days</x:v>
      </x:c>
      <x:c r="C17" s="49" t="str"/>
      <x:c r="F17" s="29" t="str">
        <x:v>In Progress</x:v>
      </x:c>
      <x:c r="G17" s="35" t="n">
        <x:f>COUNTIF('Campaign Tasks'!$G$5:$G$22,F17)</x:f>
        <x:v>0</x:v>
      </x:c>
      <x:c r="H17" s="99" t="n">
        <x:f>IF(SUM($G$16:$G$19)=0,"",G17/SUM($G$16:$G$19))</x:f>
        <x:v>0</x:v>
      </x:c>
    </x:row>
    <x:row r="18" ht="36" hidden="0" customHeight="1">
      <x:c r="A18" s="29" t="str">
        <x:v>Referral rate</x:v>
      </x:c>
      <x:c r="B18" s="41" t="str">
        <x:v>1 referred designer per 3 activated beta users</x:v>
      </x:c>
      <x:c r="C18" s="49" t="str"/>
      <x:c r="F18" s="29" t="str">
        <x:v>Blocked</x:v>
      </x:c>
      <x:c r="G18" s="35" t="n">
        <x:f>COUNTIF('Campaign Tasks'!$G$5:$G$22,F18)</x:f>
        <x:v>0</x:v>
      </x:c>
      <x:c r="H18" s="99" t="n">
        <x:f>IF(SUM($G$16:$G$19)=0,"",G18/SUM($G$16:$G$19))</x:f>
        <x:v>0</x:v>
      </x:c>
      <x:c r="J18" s="20" t="str">
        <x:v>Color Key</x:v>
      </x:c>
      <x:c r="K18" s="21" t="str">
        <x:v>Meaning</x:v>
      </x:c>
      <x:c r="L18" s="22" t="str">
        <x:v>Use</x:v>
      </x:c>
    </x:row>
    <x:row r="19" ht="24" hidden="0" customHeight="1">
      <x:c r="A19" s="30" t="str">
        <x:v>Primary channel</x:v>
      </x:c>
      <x:c r="B19" s="42" t="str">
        <x:v>Instagram/Reels + direct outreach</x:v>
      </x:c>
      <x:c r="C19" s="53" t="str"/>
      <x:c r="F19" s="30" t="str">
        <x:v>Not Started</x:v>
      </x:c>
      <x:c r="G19" s="36" t="n">
        <x:f>COUNTIF('Campaign Tasks'!$G$5:$G$22,F19)</x:f>
        <x:v>18</x:v>
      </x:c>
      <x:c r="H19" s="100" t="n">
        <x:f>IF(SUM($G$16:$G$19)=0,"",G19/SUM($G$16:$G$19))</x:f>
        <x:v>1</x:v>
      </x:c>
      <x:c r="J19" s="43" t="str">
        <x:v>Input fill</x:v>
      </x:c>
      <x:c r="K19" s="28" t="str">
        <x:v>Editable cell</x:v>
      </x:c>
      <x:c r="L19" s="28" t="str">
        <x:v>CRM fields</x:v>
      </x:c>
    </x:row>
    <x:row r="20" ht="15" hidden="0" customHeight="1">
      <x:c r="J20" s="101" t="str">
        <x:v>Green</x:v>
      </x:c>
      <x:c r="K20" s="29" t="str">
        <x:v>Good / complete</x:v>
      </x:c>
      <x:c r="L20" s="29" t="str">
        <x:v>Qualified, approved, done</x:v>
      </x:c>
    </x:row>
    <x:row r="21" ht="15" hidden="0" customHeight="1">
      <x:c r="J21" s="102" t="str">
        <x:v>Yellow</x:v>
      </x:c>
      <x:c r="K21" s="29" t="str">
        <x:v>Needs judgment</x:v>
      </x:c>
      <x:c r="L21" s="29" t="str">
        <x:v>Maybe fit</x:v>
      </x:c>
    </x:row>
    <x:row r="22" ht="15" hidden="0" customHeight="1">
      <x:c r="J22" s="103" t="str">
        <x:v>Red</x:v>
      </x:c>
      <x:c r="K22" s="30" t="str">
        <x:v>Risk / not fit</x:v>
      </x:c>
      <x:c r="L22" s="30" t="str">
        <x:v>Low fit, blocked</x:v>
      </x:c>
    </x:row>
    <x:row r="24">
      <x:c r="J24" s="154" t="str">
        <x:v>UTM Setup</x:v>
      </x:c>
      <x:c r="K24" s="154" t="str">
        <x:v>Count</x:v>
      </x:c>
      <x:c r="L24" s="154" t="str">
        <x:v>Notes</x:v>
      </x:c>
    </x:row>
    <x:row r="25">
      <x:c r="J25" s="155" t="str">
        <x:v>Ready links</x:v>
      </x:c>
      <x:c r="K25" s="173" t="n">
        <x:f>COUNTIF('UTM Links'!$M$11:$M$28,"Ready")</x:f>
        <x:v>13</x:v>
      </x:c>
      <x:c r="L25" s="157" t="str">
        <x:v>Use now</x:v>
      </x:c>
    </x:row>
    <x:row r="26">
      <x:c r="J26" s="158" t="str">
        <x:v>Draft links</x:v>
      </x:c>
      <x:c r="K26" s="174" t="n">
        <x:f>COUNTIF('UTM Links'!$M$11:$M$28,"Draft")</x:f>
        <x:v>5</x:v>
      </x:c>
      <x:c r="L26" s="160" t="str">
        <x:v>Week 3 paid tests</x:v>
      </x:c>
    </x:row>
    <x:row r="27">
      <x:c r="J27" s="161" t="str">
        <x:v>Total links</x:v>
      </x:c>
      <x:c r="K27" s="175" t="n">
        <x:f>COUNTA('UTM Links'!$A$11:$A$28)</x:f>
        <x:v>18</x:v>
      </x:c>
      <x:c r="L27" s="163" t="str">
        <x:v>All configured campaign links</x:v>
      </x:c>
    </x:row>
  </x:sheetData>
  <x:mergeCells>
    <x:mergeCell ref="A1:L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9" hidden="0" customWidth="1"/>
    <x:col min="3" max="3" width="15" hidden="0" customWidth="1"/>
    <x:col min="4" max="4" width="17" hidden="0" customWidth="1"/>
    <x:col min="5" max="5" width="22" hidden="0" customWidth="1"/>
    <x:col min="6" max="6" width="25" hidden="0" customWidth="1"/>
    <x:col min="7" max="7" width="24" hidden="0" customWidth="1"/>
    <x:col min="8" max="8" width="23" hidden="0" customWidth="1"/>
    <x:col min="9" max="9" width="82" hidden="0" customWidth="1"/>
    <x:col min="10" max="10" width="28" hidden="0" customWidth="1"/>
    <x:col min="11" max="11" width="45" hidden="0" customWidth="1"/>
    <x:col min="12" max="12" width="12" hidden="0" customWidth="1"/>
    <x:col min="13" max="13" width="12" hidden="0" customWidth="1"/>
  </x:cols>
  <x:sheetData>
    <x:row r="1" ht="19.200000762939453" hidden="0" customHeight="1">
      <x:c r="A1" s="107" t="str">
        <x:v>StitchSpeak Beta Campaign UTM Links</x:v>
      </x:c>
      <x:c r="B1" s="107" t="str">
        <x:v>StitchSpeak Beta Campaign UTM Links</x:v>
      </x:c>
      <x:c r="C1" s="107" t="str">
        <x:v>StitchSpeak Beta Campaign UTM Links</x:v>
      </x:c>
      <x:c r="D1" s="107" t="str">
        <x:v>StitchSpeak Beta Campaign UTM Links</x:v>
      </x:c>
      <x:c r="E1" s="107" t="str">
        <x:v>StitchSpeak Beta Campaign UTM Links</x:v>
      </x:c>
      <x:c r="F1" s="107" t="str">
        <x:v>StitchSpeak Beta Campaign UTM Links</x:v>
      </x:c>
      <x:c r="G1" s="107" t="str">
        <x:v>StitchSpeak Beta Campaign UTM Links</x:v>
      </x:c>
      <x:c r="H1" s="107" t="str">
        <x:v>StitchSpeak Beta Campaign UTM Links</x:v>
      </x:c>
      <x:c r="I1" s="107" t="str">
        <x:v>StitchSpeak Beta Campaign UTM Links</x:v>
      </x:c>
      <x:c r="J1" s="107" t="str">
        <x:v>StitchSpeak Beta Campaign UTM Links</x:v>
      </x:c>
      <x:c r="K1" s="107" t="str">
        <x:v>StitchSpeak Beta Campaign UTM Links</x:v>
      </x:c>
      <x:c r="L1" s="107" t="str">
        <x:v>StitchSpeak Beta Campaign UTM Links</x:v>
      </x:c>
      <x:c r="M1" s="107" t="str">
        <x:v>StitchSpeak Beta Campaign UTM Links</x:v>
      </x:c>
    </x:row>
    <x:row r="2" ht="15" hidden="0" customHeight="1">
      <x:c r="A2" s="110" t="str">
        <x:v>Use these links for campaign tracking. Edit yellow fields if you change a channel, hook, CTA, or destination URL.</x:v>
      </x:c>
      <x:c r="B2" s="110" t="str">
        <x:v>Use these links for campaign tracking. Edit yellow fields if you change a channel, hook, CTA, or destination URL.</x:v>
      </x:c>
      <x:c r="C2" s="110" t="str">
        <x:v>Use these links for campaign tracking. Edit yellow fields if you change a channel, hook, CTA, or destination URL.</x:v>
      </x:c>
      <x:c r="D2" s="110" t="str">
        <x:v>Use these links for campaign tracking. Edit yellow fields if you change a channel, hook, CTA, or destination URL.</x:v>
      </x:c>
      <x:c r="E2" s="110" t="str">
        <x:v>Use these links for campaign tracking. Edit yellow fields if you change a channel, hook, CTA, or destination URL.</x:v>
      </x:c>
      <x:c r="F2" s="110" t="str">
        <x:v>Use these links for campaign tracking. Edit yellow fields if you change a channel, hook, CTA, or destination URL.</x:v>
      </x:c>
      <x:c r="G2" s="110" t="str">
        <x:v>Use these links for campaign tracking. Edit yellow fields if you change a channel, hook, CTA, or destination URL.</x:v>
      </x:c>
      <x:c r="H2" s="110" t="str">
        <x:v>Use these links for campaign tracking. Edit yellow fields if you change a channel, hook, CTA, or destination URL.</x:v>
      </x:c>
      <x:c r="I2" s="110" t="str">
        <x:v>Use these links for campaign tracking. Edit yellow fields if you change a channel, hook, CTA, or destination URL.</x:v>
      </x:c>
      <x:c r="J2" s="110" t="str">
        <x:v>Use these links for campaign tracking. Edit yellow fields if you change a channel, hook, CTA, or destination URL.</x:v>
      </x:c>
      <x:c r="K2" s="110" t="str">
        <x:v>Use these links for campaign tracking. Edit yellow fields if you change a channel, hook, CTA, or destination URL.</x:v>
      </x:c>
      <x:c r="L2" s="110" t="str">
        <x:v>Use these links for campaign tracking. Edit yellow fields if you change a channel, hook, CTA, or destination URL.</x:v>
      </x:c>
      <x:c r="M2" s="110" t="str">
        <x:v>Use these links for campaign tracking. Edit yellow fields if you change a channel, hook, CTA, or destination URL.</x:v>
      </x:c>
    </x:row>
    <x:row r="3"/>
    <x:row r="4" ht="15" hidden="0" customHeight="1">
      <x:c r="A4" s="113" t="str">
        <x:v>Default Destination</x:v>
      </x:c>
      <x:c r="B4" s="116" t="str">
        <x:v>https://stitchspeak.com/beta</x:v>
      </x:c>
    </x:row>
    <x:row r="5" ht="15" hidden="0" customHeight="1">
      <x:c r="A5" s="113" t="str">
        <x:v>Default Campaign</x:v>
      </x:c>
      <x:c r="B5" s="117" t="str">
        <x:v>designer-beta-2026</x:v>
      </x:c>
    </x:row>
    <x:row r="6" ht="15" hidden="0" customHeight="1">
      <x:c r="A6" s="113" t="str">
        <x:v>Naming Rules</x:v>
      </x:c>
      <x:c r="B6" s="117" t="str">
        <x:v>lowercase, hyphens, no spaces</x:v>
      </x:c>
    </x:row>
    <x:row r="7" ht="15" hidden="0" customHeight="1">
      <x:c r="A7" s="113" t="str">
        <x:v>Primary CTA</x:v>
      </x:c>
      <x:c r="B7" s="118" t="str">
        <x:v>Apply for free beta access</x:v>
      </x:c>
    </x:row>
    <x:row r="8"/>
    <x:row r="9"/>
    <x:row r="10" ht="15" hidden="0" customHeight="1">
      <x:c r="A10" s="128" t="str">
        <x:v>Link ID</x:v>
      </x:c>
      <x:c r="B10" s="129" t="str">
        <x:v>Destination URL</x:v>
      </x:c>
      <x:c r="C10" s="129" t="str">
        <x:v>UTM Source</x:v>
      </x:c>
      <x:c r="D10" s="129" t="str">
        <x:v>UTM Medium</x:v>
      </x:c>
      <x:c r="E10" s="129" t="str">
        <x:v>UTM Campaign</x:v>
      </x:c>
      <x:c r="F10" s="129" t="str">
        <x:v>UTM Content</x:v>
      </x:c>
      <x:c r="G10" s="129" t="str">
        <x:v>UTM Term</x:v>
      </x:c>
      <x:c r="H10" s="129" t="str">
        <x:v>CTA</x:v>
      </x:c>
      <x:c r="I10" s="129" t="str">
        <x:v>Final URL</x:v>
      </x:c>
      <x:c r="J10" s="129" t="str">
        <x:v>Where To Use</x:v>
      </x:c>
      <x:c r="K10" s="129" t="str">
        <x:v>Notes</x:v>
      </x:c>
      <x:c r="L10" s="129" t="str">
        <x:v>Owner</x:v>
      </x:c>
      <x:c r="M10" s="130" t="str">
        <x:v>Status</x:v>
      </x:c>
    </x:row>
    <x:row r="11" ht="15" hidden="0" customHeight="1">
      <x:c r="A11" s="136" t="str">
        <x:v>utm_001</x:v>
      </x:c>
      <x:c r="B11" s="139" t="str">
        <x:v>https://stitchspeak.com/beta</x:v>
      </x:c>
      <x:c r="C11" s="139" t="str">
        <x:v>instagram</x:v>
      </x:c>
      <x:c r="D11" s="139" t="str">
        <x:v>bio</x:v>
      </x:c>
      <x:c r="E11" s="139" t="str">
        <x:v>designer-beta-2026</x:v>
      </x:c>
      <x:c r="F11" s="139" t="str">
        <x:v>profile-link</x:v>
      </x:c>
      <x:c r="G11" s="139" t="str"/>
      <x:c r="H11" s="139" t="str">
        <x:v>Apply for free beta access</x:v>
      </x:c>
      <x:c r="I11" s="148" t="str">
        <x:f>IF($B11="","",$B11&amp;IF(ISNUMBER(SEARCH("?",$B11)),"&amp;","?")&amp;"utm_source="&amp;$C11&amp;"&amp;utm_medium="&amp;$D11&amp;"&amp;utm_campaign="&amp;$E11&amp;IF($F11&lt;&gt;"","&amp;utm_content="&amp;$F11,"")&amp;IF($G11&lt;&gt;"","&amp;utm_term="&amp;$G11,""))</x:f>
        <x:v>https://stitchspeak.com/beta?utm_source=instagram&amp;utm_medium=bio&amp;utm_campaign=designer-beta-2026&amp;utm_content=profile-link</x:v>
      </x:c>
      <x:c r="J11" s="151" t="str">
        <x:v>Instagram bio link</x:v>
      </x:c>
      <x:c r="K11" s="151" t="str">
        <x:v>Use as the single link in bio during the beta push.</x:v>
      </x:c>
      <x:c r="L11" s="139" t="str">
        <x:v>Haim</x:v>
      </x:c>
      <x:c r="M11" s="139" t="str">
        <x:v>Ready</x:v>
      </x:c>
    </x:row>
    <x:row r="12" ht="21.600000381469727" hidden="0" customHeight="1">
      <x:c r="A12" s="137" t="str">
        <x:v>utm_002</x:v>
      </x:c>
      <x:c r="B12" s="140" t="str">
        <x:v>https://stitchspeak.com/beta</x:v>
      </x:c>
      <x:c r="C12" s="140" t="str">
        <x:v>instagram</x:v>
      </x:c>
      <x:c r="D12" s="140" t="str">
        <x:v>dm</x:v>
      </x:c>
      <x:c r="E12" s="140" t="str">
        <x:v>designer-beta-2026</x:v>
      </x:c>
      <x:c r="F12" s="140" t="str">
        <x:v>designer-outreach</x:v>
      </x:c>
      <x:c r="G12" s="140" t="str">
        <x:v>personalized-dm</x:v>
      </x:c>
      <x:c r="H12" s="140" t="str">
        <x:v>Apply for free beta access</x:v>
      </x:c>
      <x:c r="I12" s="149" t="str">
        <x:f>IF($B12="","",$B12&amp;IF(ISNUMBER(SEARCH("?",$B12)),"&amp;","?")&amp;"utm_source="&amp;$C12&amp;"&amp;utm_medium="&amp;$D12&amp;"&amp;utm_campaign="&amp;$E12&amp;IF($F12&lt;&gt;"","&amp;utm_content="&amp;$F12,"")&amp;IF($G12&lt;&gt;"","&amp;utm_term="&amp;$G12,""))</x:f>
        <x:v>https://stitchspeak.com/beta?utm_source=instagram&amp;utm_medium=dm&amp;utm_campaign=designer-beta-2026&amp;utm_content=designer-outreach&amp;utm_term=personalized-dm</x:v>
      </x:c>
      <x:c r="J12" s="152" t="str">
        <x:v>Personal designer DMs</x:v>
      </x:c>
      <x:c r="K12" s="152" t="str">
        <x:v>Paste in personalized outreach after the custom first line.</x:v>
      </x:c>
      <x:c r="L12" s="140" t="str">
        <x:v>Haim</x:v>
      </x:c>
      <x:c r="M12" s="140" t="str">
        <x:v>Ready</x:v>
      </x:c>
    </x:row>
    <x:row r="13" ht="24" hidden="0" customHeight="1">
      <x:c r="A13" s="137" t="str">
        <x:v>utm_003</x:v>
      </x:c>
      <x:c r="B13" s="140" t="str">
        <x:v>https://stitchspeak.com/beta</x:v>
      </x:c>
      <x:c r="C13" s="140" t="str">
        <x:v>instagram</x:v>
      </x:c>
      <x:c r="D13" s="140" t="str">
        <x:v>organic-social</x:v>
      </x:c>
      <x:c r="E13" s="140" t="str">
        <x:v>designer-beta-2026</x:v>
      </x:c>
      <x:c r="F13" s="140" t="str">
        <x:v>reel-more-markets</x:v>
      </x:c>
      <x:c r="G13" s="140" t="str">
        <x:v>more-markets</x:v>
      </x:c>
      <x:c r="H13" s="140" t="str">
        <x:v>Apply for free beta access</x:v>
      </x:c>
      <x:c r="I13" s="149" t="str">
        <x:f>IF($B13="","",$B13&amp;IF(ISNUMBER(SEARCH("?",$B13)),"&amp;","?")&amp;"utm_source="&amp;$C13&amp;"&amp;utm_medium="&amp;$D13&amp;"&amp;utm_campaign="&amp;$E13&amp;IF($F13&lt;&gt;"","&amp;utm_content="&amp;$F13,"")&amp;IF($G13&lt;&gt;"","&amp;utm_term="&amp;$G13,""))</x:f>
        <x:v>https://stitchspeak.com/beta?utm_source=instagram&amp;utm_medium=organic-social&amp;utm_campaign=designer-beta-2026&amp;utm_content=reel-more-markets&amp;utm_term=more-markets</x:v>
      </x:c>
      <x:c r="J13" s="152" t="str">
        <x:v>Reel: More Markets</x:v>
      </x:c>
      <x:c r="K13" s="152" t="str">
        <x:v>Use for the Reel hook: Your best-selling pattern may be ready for a new language.</x:v>
      </x:c>
      <x:c r="L13" s="140" t="str">
        <x:v>Haim</x:v>
      </x:c>
      <x:c r="M13" s="140" t="str">
        <x:v>Ready</x:v>
      </x:c>
    </x:row>
    <x:row r="14" ht="24" hidden="0" customHeight="1">
      <x:c r="A14" s="137" t="str">
        <x:v>utm_004</x:v>
      </x:c>
      <x:c r="B14" s="140" t="str">
        <x:v>https://stitchspeak.com/beta</x:v>
      </x:c>
      <x:c r="C14" s="140" t="str">
        <x:v>instagram</x:v>
      </x:c>
      <x:c r="D14" s="140" t="str">
        <x:v>organic-social</x:v>
      </x:c>
      <x:c r="E14" s="140" t="str">
        <x:v>designer-beta-2026</x:v>
      </x:c>
      <x:c r="F14" s="140" t="str">
        <x:v>reel-pattern-native</x:v>
      </x:c>
      <x:c r="G14" s="140" t="str">
        <x:v>pattern-native-translation</x:v>
      </x:c>
      <x:c r="H14" s="140" t="str">
        <x:v>Watch it work</x:v>
      </x:c>
      <x:c r="I14" s="149" t="str">
        <x:f>IF($B14="","",$B14&amp;IF(ISNUMBER(SEARCH("?",$B14)),"&amp;","?")&amp;"utm_source="&amp;$C14&amp;"&amp;utm_medium="&amp;$D14&amp;"&amp;utm_campaign="&amp;$E14&amp;IF($F14&lt;&gt;"","&amp;utm_content="&amp;$F14,"")&amp;IF($G14&lt;&gt;"","&amp;utm_term="&amp;$G14,""))</x:f>
        <x:v>https://stitchspeak.com/beta?utm_source=instagram&amp;utm_medium=organic-social&amp;utm_campaign=designer-beta-2026&amp;utm_content=reel-pattern-native&amp;utm_term=pattern-native-translation</x:v>
      </x:c>
      <x:c r="J14" s="152" t="str">
        <x:v>Reel: Pattern-Native Translation</x:v>
      </x:c>
      <x:c r="K14" s="152" t="str">
        <x:v>Use for demo content showing abbreviations, rows, repeats, and sizing.</x:v>
      </x:c>
      <x:c r="L14" s="140" t="str">
        <x:v>Haim</x:v>
      </x:c>
      <x:c r="M14" s="140" t="str">
        <x:v>Ready</x:v>
      </x:c>
    </x:row>
    <x:row r="15" ht="24" hidden="0" customHeight="1">
      <x:c r="A15" s="137" t="str">
        <x:v>utm_005</x:v>
      </x:c>
      <x:c r="B15" s="140" t="str">
        <x:v>https://stitchspeak.com/beta</x:v>
      </x:c>
      <x:c r="C15" s="140" t="str">
        <x:v>instagram</x:v>
      </x:c>
      <x:c r="D15" s="140" t="str">
        <x:v>organic-social</x:v>
      </x:c>
      <x:c r="E15" s="140" t="str">
        <x:v>designer-beta-2026</x:v>
      </x:c>
      <x:c r="F15" s="140" t="str">
        <x:v>reel-transparent-cost</x:v>
      </x:c>
      <x:c r="G15" s="140" t="str">
        <x:v>transparent-cost</x:v>
      </x:c>
      <x:c r="H15" s="140" t="str">
        <x:v>Start translating</x:v>
      </x:c>
      <x:c r="I15" s="149" t="str">
        <x:f>IF($B15="","",$B15&amp;IF(ISNUMBER(SEARCH("?",$B15)),"&amp;","?")&amp;"utm_source="&amp;$C15&amp;"&amp;utm_medium="&amp;$D15&amp;"&amp;utm_campaign="&amp;$E15&amp;IF($F15&lt;&gt;"","&amp;utm_content="&amp;$F15,"")&amp;IF($G15&lt;&gt;"","&amp;utm_term="&amp;$G15,""))</x:f>
        <x:v>https://stitchspeak.com/beta?utm_source=instagram&amp;utm_medium=organic-social&amp;utm_campaign=designer-beta-2026&amp;utm_content=reel-transparent-cost&amp;utm_term=transparent-cost</x:v>
      </x:c>
      <x:c r="J15" s="152" t="str">
        <x:v>Reel: Transparent Cost</x:v>
      </x:c>
      <x:c r="K15" s="152" t="str">
        <x:v>Use for demo content showing upload, language choice, and estimate.</x:v>
      </x:c>
      <x:c r="L15" s="140" t="str">
        <x:v>Haim</x:v>
      </x:c>
      <x:c r="M15" s="140" t="str">
        <x:v>Ready</x:v>
      </x:c>
    </x:row>
    <x:row r="16" ht="21.600000381469727" hidden="0" customHeight="1">
      <x:c r="A16" s="137" t="str">
        <x:v>utm_006</x:v>
      </x:c>
      <x:c r="B16" s="140" t="str">
        <x:v>https://stitchspeak.com/beta</x:v>
      </x:c>
      <x:c r="C16" s="140" t="str">
        <x:v>instagram</x:v>
      </x:c>
      <x:c r="D16" s="140" t="str">
        <x:v>organic-social</x:v>
      </x:c>
      <x:c r="E16" s="140" t="str">
        <x:v>designer-beta-2026</x:v>
      </x:c>
      <x:c r="F16" s="140" t="str">
        <x:v>carousel-launch-farther</x:v>
      </x:c>
      <x:c r="G16" s="140" t="str">
        <x:v>carousel</x:v>
      </x:c>
      <x:c r="H16" s="140" t="str">
        <x:v>Apply for free beta access</x:v>
      </x:c>
      <x:c r="I16" s="149" t="str">
        <x:f>IF($B16="","",$B16&amp;IF(ISNUMBER(SEARCH("?",$B16)),"&amp;","?")&amp;"utm_source="&amp;$C16&amp;"&amp;utm_medium="&amp;$D16&amp;"&amp;utm_campaign="&amp;$E16&amp;IF($F16&lt;&gt;"","&amp;utm_content="&amp;$F16,"")&amp;IF($G16&lt;&gt;"","&amp;utm_term="&amp;$G16,""))</x:f>
        <x:v>https://stitchspeak.com/beta?utm_source=instagram&amp;utm_medium=organic-social&amp;utm_campaign=designer-beta-2026&amp;utm_content=carousel-launch-farther&amp;utm_term=carousel</x:v>
      </x:c>
      <x:c r="J16" s="152" t="str">
        <x:v>Instagram carousel</x:v>
      </x:c>
      <x:c r="K16" s="152" t="str">
        <x:v>Use for the six-slide carousel from the campaign plan.</x:v>
      </x:c>
      <x:c r="L16" s="140" t="str">
        <x:v>Haim</x:v>
      </x:c>
      <x:c r="M16" s="140" t="str">
        <x:v>Ready</x:v>
      </x:c>
    </x:row>
    <x:row r="17" ht="21.600000381469727" hidden="0" customHeight="1">
      <x:c r="A17" s="137" t="str">
        <x:v>utm_007</x:v>
      </x:c>
      <x:c r="B17" s="140" t="str">
        <x:v>https://stitchspeak.com/beta</x:v>
      </x:c>
      <x:c r="C17" s="140" t="str">
        <x:v>pinterest</x:v>
      </x:c>
      <x:c r="D17" s="140" t="str">
        <x:v>organic-social</x:v>
      </x:c>
      <x:c r="E17" s="140" t="str">
        <x:v>designer-beta-2026</x:v>
      </x:c>
      <x:c r="F17" s="140" t="str">
        <x:v>pin-market-ready-checklist</x:v>
      </x:c>
      <x:c r="G17" s="140" t="str">
        <x:v>checklist</x:v>
      </x:c>
      <x:c r="H17" s="140" t="str">
        <x:v>Get the checklist + beta invite</x:v>
      </x:c>
      <x:c r="I17" s="149" t="str">
        <x:f>IF($B17="","",$B17&amp;IF(ISNUMBER(SEARCH("?",$B17)),"&amp;","?")&amp;"utm_source="&amp;$C17&amp;"&amp;utm_medium="&amp;$D17&amp;"&amp;utm_campaign="&amp;$E17&amp;IF($F17&lt;&gt;"","&amp;utm_content="&amp;$F17,"")&amp;IF($G17&lt;&gt;"","&amp;utm_term="&amp;$G17,""))</x:f>
        <x:v>https://stitchspeak.com/beta?utm_source=pinterest&amp;utm_medium=organic-social&amp;utm_campaign=designer-beta-2026&amp;utm_content=pin-market-ready-checklist&amp;utm_term=checklist</x:v>
      </x:c>
      <x:c r="J17" s="152" t="str">
        <x:v>Pinterest organic pin</x:v>
      </x:c>
      <x:c r="K17" s="152" t="str">
        <x:v>Use for pins promoting the Market-Ready Pattern Checklist.</x:v>
      </x:c>
      <x:c r="L17" s="140" t="str">
        <x:v>Haim</x:v>
      </x:c>
      <x:c r="M17" s="140" t="str">
        <x:v>Ready</x:v>
      </x:c>
    </x:row>
    <x:row r="18" ht="21.600000381469727" hidden="0" customHeight="1">
      <x:c r="A18" s="137" t="str">
        <x:v>utm_008</x:v>
      </x:c>
      <x:c r="B18" s="140" t="str">
        <x:v>https://stitchspeak.com/beta</x:v>
      </x:c>
      <x:c r="C18" s="140" t="str">
        <x:v>pinterest</x:v>
      </x:c>
      <x:c r="D18" s="140" t="str">
        <x:v>organic-social</x:v>
      </x:c>
      <x:c r="E18" s="140" t="str">
        <x:v>designer-beta-2026</x:v>
      </x:c>
      <x:c r="F18" s="140" t="str">
        <x:v>pin-more-markets</x:v>
      </x:c>
      <x:c r="G18" s="140" t="str">
        <x:v>more-markets</x:v>
      </x:c>
      <x:c r="H18" s="140" t="str">
        <x:v>Apply for free beta access</x:v>
      </x:c>
      <x:c r="I18" s="149" t="str">
        <x:f>IF($B18="","",$B18&amp;IF(ISNUMBER(SEARCH("?",$B18)),"&amp;","?")&amp;"utm_source="&amp;$C18&amp;"&amp;utm_medium="&amp;$D18&amp;"&amp;utm_campaign="&amp;$E18&amp;IF($F18&lt;&gt;"","&amp;utm_content="&amp;$F18,"")&amp;IF($G18&lt;&gt;"","&amp;utm_term="&amp;$G18,""))</x:f>
        <x:v>https://stitchspeak.com/beta?utm_source=pinterest&amp;utm_medium=organic-social&amp;utm_campaign=designer-beta-2026&amp;utm_content=pin-more-markets&amp;utm_term=more-markets</x:v>
      </x:c>
      <x:c r="J18" s="152" t="str">
        <x:v>Pinterest organic pin</x:v>
      </x:c>
      <x:c r="K18" s="152" t="str">
        <x:v>Use for visual pins about translating a best-selling pattern.</x:v>
      </x:c>
      <x:c r="L18" s="140" t="str">
        <x:v>Haim</x:v>
      </x:c>
      <x:c r="M18" s="140" t="str">
        <x:v>Ready</x:v>
      </x:c>
    </x:row>
    <x:row r="19" ht="21.600000381469727" hidden="0" customHeight="1">
      <x:c r="A19" s="137" t="str">
        <x:v>utm_009</x:v>
      </x:c>
      <x:c r="B19" s="140" t="str">
        <x:v>https://stitchspeak.com/beta</x:v>
      </x:c>
      <x:c r="C19" s="140" t="str">
        <x:v>pinterest</x:v>
      </x:c>
      <x:c r="D19" s="140" t="str">
        <x:v>paid-social</x:v>
      </x:c>
      <x:c r="E19" s="140" t="str">
        <x:v>designer-beta-2026</x:v>
      </x:c>
      <x:c r="F19" s="140" t="str">
        <x:v>paid-pin-pattern-native</x:v>
      </x:c>
      <x:c r="G19" s="140" t="str">
        <x:v>pattern-native-translation</x:v>
      </x:c>
      <x:c r="H19" s="140" t="str">
        <x:v>Watch it work</x:v>
      </x:c>
      <x:c r="I19" s="149" t="str">
        <x:f>IF($B19="","",$B19&amp;IF(ISNUMBER(SEARCH("?",$B19)),"&amp;","?")&amp;"utm_source="&amp;$C19&amp;"&amp;utm_medium="&amp;$D19&amp;"&amp;utm_campaign="&amp;$E19&amp;IF($F19&lt;&gt;"","&amp;utm_content="&amp;$F19,"")&amp;IF($G19&lt;&gt;"","&amp;utm_term="&amp;$G19,""))</x:f>
        <x:v>https://stitchspeak.com/beta?utm_source=pinterest&amp;utm_medium=paid-social&amp;utm_campaign=designer-beta-2026&amp;utm_content=paid-pin-pattern-native&amp;utm_term=pattern-native-translation</x:v>
      </x:c>
      <x:c r="J19" s="152" t="str">
        <x:v>Pinterest paid test</x:v>
      </x:c>
      <x:c r="K19" s="152" t="str">
        <x:v>Use for paid pin variant focused on knitting/crochet terminology.</x:v>
      </x:c>
      <x:c r="L19" s="140" t="str">
        <x:v>Haim</x:v>
      </x:c>
      <x:c r="M19" s="140" t="str">
        <x:v>Draft</x:v>
      </x:c>
    </x:row>
    <x:row r="20" ht="24" hidden="0" customHeight="1">
      <x:c r="A20" s="137" t="str">
        <x:v>utm_010</x:v>
      </x:c>
      <x:c r="B20" s="140" t="str">
        <x:v>https://stitchspeak.com/beta</x:v>
      </x:c>
      <x:c r="C20" s="140" t="str">
        <x:v>pinterest</x:v>
      </x:c>
      <x:c r="D20" s="140" t="str">
        <x:v>paid-social</x:v>
      </x:c>
      <x:c r="E20" s="140" t="str">
        <x:v>designer-beta-2026</x:v>
      </x:c>
      <x:c r="F20" s="140" t="str">
        <x:v>paid-pin-transparent-cost</x:v>
      </x:c>
      <x:c r="G20" s="140" t="str">
        <x:v>transparent-cost</x:v>
      </x:c>
      <x:c r="H20" s="140" t="str">
        <x:v>Start translating</x:v>
      </x:c>
      <x:c r="I20" s="149" t="str">
        <x:f>IF($B20="","",$B20&amp;IF(ISNUMBER(SEARCH("?",$B20)),"&amp;","?")&amp;"utm_source="&amp;$C20&amp;"&amp;utm_medium="&amp;$D20&amp;"&amp;utm_campaign="&amp;$E20&amp;IF($F20&lt;&gt;"","&amp;utm_content="&amp;$F20,"")&amp;IF($G20&lt;&gt;"","&amp;utm_term="&amp;$G20,""))</x:f>
        <x:v>https://stitchspeak.com/beta?utm_source=pinterest&amp;utm_medium=paid-social&amp;utm_campaign=designer-beta-2026&amp;utm_content=paid-pin-transparent-cost&amp;utm_term=transparent-cost</x:v>
      </x:c>
      <x:c r="J20" s="152" t="str">
        <x:v>Pinterest paid test</x:v>
      </x:c>
      <x:c r="K20" s="152" t="str">
        <x:v>Use for paid pin variant focused on credit estimate before translation.</x:v>
      </x:c>
      <x:c r="L20" s="140" t="str">
        <x:v>Haim</x:v>
      </x:c>
      <x:c r="M20" s="140" t="str">
        <x:v>Draft</x:v>
      </x:c>
    </x:row>
    <x:row r="21" ht="21.600000381469727" hidden="0" customHeight="1">
      <x:c r="A21" s="137" t="str">
        <x:v>utm_011</x:v>
      </x:c>
      <x:c r="B21" s="140" t="str">
        <x:v>https://stitchspeak.com/beta</x:v>
      </x:c>
      <x:c r="C21" s="140" t="str">
        <x:v>instagram</x:v>
      </x:c>
      <x:c r="D21" s="140" t="str">
        <x:v>paid-social</x:v>
      </x:c>
      <x:c r="E21" s="140" t="str">
        <x:v>designer-beta-2026</x:v>
      </x:c>
      <x:c r="F21" s="140" t="str">
        <x:v>paid-reel-more-markets</x:v>
      </x:c>
      <x:c r="G21" s="140" t="str">
        <x:v>more-markets</x:v>
      </x:c>
      <x:c r="H21" s="140" t="str">
        <x:v>Apply for free beta access</x:v>
      </x:c>
      <x:c r="I21" s="149" t="str">
        <x:f>IF($B21="","",$B21&amp;IF(ISNUMBER(SEARCH("?",$B21)),"&amp;","?")&amp;"utm_source="&amp;$C21&amp;"&amp;utm_medium="&amp;$D21&amp;"&amp;utm_campaign="&amp;$E21&amp;IF($F21&lt;&gt;"","&amp;utm_content="&amp;$F21,"")&amp;IF($G21&lt;&gt;"","&amp;utm_term="&amp;$G21,""))</x:f>
        <x:v>https://stitchspeak.com/beta?utm_source=instagram&amp;utm_medium=paid-social&amp;utm_campaign=designer-beta-2026&amp;utm_content=paid-reel-more-markets&amp;utm_term=more-markets</x:v>
      </x:c>
      <x:c r="J21" s="152" t="str">
        <x:v>Instagram/Reels paid test</x:v>
      </x:c>
      <x:c r="K21" s="152" t="str">
        <x:v>Paid creative variant 1 for Week 3.</x:v>
      </x:c>
      <x:c r="L21" s="140" t="str">
        <x:v>Haim</x:v>
      </x:c>
      <x:c r="M21" s="140" t="str">
        <x:v>Draft</x:v>
      </x:c>
    </x:row>
    <x:row r="22" ht="21.600000381469727" hidden="0" customHeight="1">
      <x:c r="A22" s="137" t="str">
        <x:v>utm_012</x:v>
      </x:c>
      <x:c r="B22" s="140" t="str">
        <x:v>https://stitchspeak.com/beta</x:v>
      </x:c>
      <x:c r="C22" s="140" t="str">
        <x:v>instagram</x:v>
      </x:c>
      <x:c r="D22" s="140" t="str">
        <x:v>paid-social</x:v>
      </x:c>
      <x:c r="E22" s="140" t="str">
        <x:v>designer-beta-2026</x:v>
      </x:c>
      <x:c r="F22" s="140" t="str">
        <x:v>paid-reel-pattern-native</x:v>
      </x:c>
      <x:c r="G22" s="140" t="str">
        <x:v>pattern-native-translation</x:v>
      </x:c>
      <x:c r="H22" s="140" t="str">
        <x:v>Watch it work</x:v>
      </x:c>
      <x:c r="I22" s="149" t="str">
        <x:f>IF($B22="","",$B22&amp;IF(ISNUMBER(SEARCH("?",$B22)),"&amp;","?")&amp;"utm_source="&amp;$C22&amp;"&amp;utm_medium="&amp;$D22&amp;"&amp;utm_campaign="&amp;$E22&amp;IF($F22&lt;&gt;"","&amp;utm_content="&amp;$F22,"")&amp;IF($G22&lt;&gt;"","&amp;utm_term="&amp;$G22,""))</x:f>
        <x:v>https://stitchspeak.com/beta?utm_source=instagram&amp;utm_medium=paid-social&amp;utm_campaign=designer-beta-2026&amp;utm_content=paid-reel-pattern-native&amp;utm_term=pattern-native-translation</x:v>
      </x:c>
      <x:c r="J22" s="152" t="str">
        <x:v>Instagram/Reels paid test</x:v>
      </x:c>
      <x:c r="K22" s="152" t="str">
        <x:v>Paid creative variant 2 for Week 3.</x:v>
      </x:c>
      <x:c r="L22" s="140" t="str">
        <x:v>Haim</x:v>
      </x:c>
      <x:c r="M22" s="140" t="str">
        <x:v>Draft</x:v>
      </x:c>
    </x:row>
    <x:row r="23" ht="24" hidden="0" customHeight="1">
      <x:c r="A23" s="137" t="str">
        <x:v>utm_013</x:v>
      </x:c>
      <x:c r="B23" s="140" t="str">
        <x:v>https://stitchspeak.com/beta</x:v>
      </x:c>
      <x:c r="C23" s="140" t="str">
        <x:v>instagram</x:v>
      </x:c>
      <x:c r="D23" s="140" t="str">
        <x:v>retargeting</x:v>
      </x:c>
      <x:c r="E23" s="140" t="str">
        <x:v>designer-beta-2026</x:v>
      </x:c>
      <x:c r="F23" s="140" t="str">
        <x:v>beta-page-visitor</x:v>
      </x:c>
      <x:c r="G23" s="140" t="str">
        <x:v>watch-it-work</x:v>
      </x:c>
      <x:c r="H23" s="140" t="str">
        <x:v>Watch it work</x:v>
      </x:c>
      <x:c r="I23" s="149" t="str">
        <x:f>IF($B23="","",$B23&amp;IF(ISNUMBER(SEARCH("?",$B23)),"&amp;","?")&amp;"utm_source="&amp;$C23&amp;"&amp;utm_medium="&amp;$D23&amp;"&amp;utm_campaign="&amp;$E23&amp;IF($F23&lt;&gt;"","&amp;utm_content="&amp;$F23,"")&amp;IF($G23&lt;&gt;"","&amp;utm_term="&amp;$G23,""))</x:f>
        <x:v>https://stitchspeak.com/beta?utm_source=instagram&amp;utm_medium=retargeting&amp;utm_campaign=designer-beta-2026&amp;utm_content=beta-page-visitor&amp;utm_term=watch-it-work</x:v>
      </x:c>
      <x:c r="J23" s="152" t="str">
        <x:v>Retargeting</x:v>
      </x:c>
      <x:c r="K23" s="152" t="str">
        <x:v>Use for retargeting visitors who reached the beta page but did not apply.</x:v>
      </x:c>
      <x:c r="L23" s="140" t="str">
        <x:v>Haim</x:v>
      </x:c>
      <x:c r="M23" s="140" t="str">
        <x:v>Draft</x:v>
      </x:c>
    </x:row>
    <x:row r="24" ht="24" hidden="0" customHeight="1">
      <x:c r="A24" s="137" t="str">
        <x:v>utm_014</x:v>
      </x:c>
      <x:c r="B24" s="140" t="str">
        <x:v>https://stitchspeak.com/beta</x:v>
      </x:c>
      <x:c r="C24" s="140" t="str">
        <x:v>partner</x:v>
      </x:c>
      <x:c r="D24" s="140" t="str">
        <x:v>email</x:v>
      </x:c>
      <x:c r="E24" s="140" t="str">
        <x:v>designer-beta-2026</x:v>
      </x:c>
      <x:c r="F24" s="140" t="str">
        <x:v>technical-editor-outreach</x:v>
      </x:c>
      <x:c r="G24" s="140" t="str">
        <x:v>partner-mention</x:v>
      </x:c>
      <x:c r="H24" s="140" t="str">
        <x:v>Apply for free beta access</x:v>
      </x:c>
      <x:c r="I24" s="149" t="str">
        <x:f>IF($B24="","",$B24&amp;IF(ISNUMBER(SEARCH("?",$B24)),"&amp;","?")&amp;"utm_source="&amp;$C24&amp;"&amp;utm_medium="&amp;$D24&amp;"&amp;utm_campaign="&amp;$E24&amp;IF($F24&lt;&gt;"","&amp;utm_content="&amp;$F24,"")&amp;IF($G24&lt;&gt;"","&amp;utm_term="&amp;$G24,""))</x:f>
        <x:v>https://stitchspeak.com/beta?utm_source=partner&amp;utm_medium=email&amp;utm_campaign=designer-beta-2026&amp;utm_content=technical-editor-outreach&amp;utm_term=partner-mention</x:v>
      </x:c>
      <x:c r="J24" s="152" t="str">
        <x:v>Technical editor partner emails</x:v>
      </x:c>
      <x:c r="K24" s="152" t="str">
        <x:v>Give to tech editors who may mention StitchSpeak to designer clients.</x:v>
      </x:c>
      <x:c r="L24" s="140" t="str">
        <x:v>Haim</x:v>
      </x:c>
      <x:c r="M24" s="140" t="str">
        <x:v>Ready</x:v>
      </x:c>
    </x:row>
    <x:row r="25" ht="21.600000381469727" hidden="0" customHeight="1">
      <x:c r="A25" s="137" t="str">
        <x:v>utm_015</x:v>
      </x:c>
      <x:c r="B25" s="140" t="str">
        <x:v>https://stitchspeak.com/beta</x:v>
      </x:c>
      <x:c r="C25" s="140" t="str">
        <x:v>partner</x:v>
      </x:c>
      <x:c r="D25" s="140" t="str">
        <x:v>email</x:v>
      </x:c>
      <x:c r="E25" s="140" t="str">
        <x:v>designer-beta-2026</x:v>
      </x:c>
      <x:c r="F25" s="140" t="str">
        <x:v>craft-newsletter</x:v>
      </x:c>
      <x:c r="G25" s="140" t="str">
        <x:v>newsletter-mention</x:v>
      </x:c>
      <x:c r="H25" s="140" t="str">
        <x:v>Apply for free beta access</x:v>
      </x:c>
      <x:c r="I25" s="149" t="str">
        <x:f>IF($B25="","",$B25&amp;IF(ISNUMBER(SEARCH("?",$B25)),"&amp;","?")&amp;"utm_source="&amp;$C25&amp;"&amp;utm_medium="&amp;$D25&amp;"&amp;utm_campaign="&amp;$E25&amp;IF($F25&lt;&gt;"","&amp;utm_content="&amp;$F25,"")&amp;IF($G25&lt;&gt;"","&amp;utm_term="&amp;$G25,""))</x:f>
        <x:v>https://stitchspeak.com/beta?utm_source=partner&amp;utm_medium=email&amp;utm_campaign=designer-beta-2026&amp;utm_content=craft-newsletter&amp;utm_term=newsletter-mention</x:v>
      </x:c>
      <x:c r="J25" s="152" t="str">
        <x:v>Craft newsletter partners</x:v>
      </x:c>
      <x:c r="K25" s="152" t="str">
        <x:v>Use for newsletter placements or editorial mentions.</x:v>
      </x:c>
      <x:c r="L25" s="140" t="str">
        <x:v>Haim</x:v>
      </x:c>
      <x:c r="M25" s="140" t="str">
        <x:v>Ready</x:v>
      </x:c>
    </x:row>
    <x:row r="26" ht="21.600000381469727" hidden="0" customHeight="1">
      <x:c r="A26" s="137" t="str">
        <x:v>utm_016</x:v>
      </x:c>
      <x:c r="B26" s="140" t="str">
        <x:v>https://stitchspeak.com/beta</x:v>
      </x:c>
      <x:c r="C26" s="140" t="str">
        <x:v>ravelry</x:v>
      </x:c>
      <x:c r="D26" s="140" t="str">
        <x:v>community</x:v>
      </x:c>
      <x:c r="E26" s="140" t="str">
        <x:v>designer-beta-2026</x:v>
      </x:c>
      <x:c r="F26" s="140" t="str">
        <x:v>helpful-resource</x:v>
      </x:c>
      <x:c r="G26" s="140" t="str">
        <x:v>market-ready-checklist</x:v>
      </x:c>
      <x:c r="H26" s="140" t="str">
        <x:v>Get the checklist + beta invite</x:v>
      </x:c>
      <x:c r="I26" s="149" t="str">
        <x:f>IF($B26="","",$B26&amp;IF(ISNUMBER(SEARCH("?",$B26)),"&amp;","?")&amp;"utm_source="&amp;$C26&amp;"&amp;utm_medium="&amp;$D26&amp;"&amp;utm_campaign="&amp;$E26&amp;IF($F26&lt;&gt;"","&amp;utm_content="&amp;$F26,"")&amp;IF($G26&lt;&gt;"","&amp;utm_term="&amp;$G26,""))</x:f>
        <x:v>https://stitchspeak.com/beta?utm_source=ravelry&amp;utm_medium=community&amp;utm_campaign=designer-beta-2026&amp;utm_content=helpful-resource&amp;utm_term=market-ready-checklist</x:v>
      </x:c>
      <x:c r="J26" s="152" t="str">
        <x:v>Ravelry/community</x:v>
      </x:c>
      <x:c r="K26" s="152" t="str">
        <x:v>Use carefully in helpful education posts, not spammy promotion.</x:v>
      </x:c>
      <x:c r="L26" s="140" t="str">
        <x:v>Haim</x:v>
      </x:c>
      <x:c r="M26" s="140" t="str">
        <x:v>Ready</x:v>
      </x:c>
    </x:row>
    <x:row r="27" ht="21.600000381469727" hidden="0" customHeight="1">
      <x:c r="A27" s="137" t="str">
        <x:v>utm_017</x:v>
      </x:c>
      <x:c r="B27" s="140" t="str">
        <x:v>https://stitchspeak.com/beta</x:v>
      </x:c>
      <x:c r="C27" s="140" t="str">
        <x:v>referral</x:v>
      </x:c>
      <x:c r="D27" s="140" t="str">
        <x:v>customer-referral</x:v>
      </x:c>
      <x:c r="E27" s="140" t="str">
        <x:v>designer-beta-2026</x:v>
      </x:c>
      <x:c r="F27" s="140" t="str">
        <x:v>activated-beta-user</x:v>
      </x:c>
      <x:c r="G27" s="140" t="str">
        <x:v>designer-friend</x:v>
      </x:c>
      <x:c r="H27" s="140" t="str">
        <x:v>Apply for free beta access</x:v>
      </x:c>
      <x:c r="I27" s="149" t="str">
        <x:f>IF($B27="","",$B27&amp;IF(ISNUMBER(SEARCH("?",$B27)),"&amp;","?")&amp;"utm_source="&amp;$C27&amp;"&amp;utm_medium="&amp;$D27&amp;"&amp;utm_campaign="&amp;$E27&amp;IF($F27&lt;&gt;"","&amp;utm_content="&amp;$F27,"")&amp;IF($G27&lt;&gt;"","&amp;utm_term="&amp;$G27,""))</x:f>
        <x:v>https://stitchspeak.com/beta?utm_source=referral&amp;utm_medium=customer-referral&amp;utm_campaign=designer-beta-2026&amp;utm_content=activated-beta-user&amp;utm_term=designer-friend</x:v>
      </x:c>
      <x:c r="J27" s="152" t="str">
        <x:v>Beta user referrals</x:v>
      </x:c>
      <x:c r="K27" s="152" t="str">
        <x:v>Send after first translation or public proof moment.</x:v>
      </x:c>
      <x:c r="L27" s="140" t="str">
        <x:v>Haim</x:v>
      </x:c>
      <x:c r="M27" s="140" t="str">
        <x:v>Ready</x:v>
      </x:c>
    </x:row>
    <x:row r="28" ht="21.600000381469727" hidden="0" customHeight="1">
      <x:c r="A28" s="138" t="str">
        <x:v>utm_018</x:v>
      </x:c>
      <x:c r="B28" s="141" t="str">
        <x:v>https://stitchspeak.com/beta</x:v>
      </x:c>
      <x:c r="C28" s="141" t="str">
        <x:v>email</x:v>
      </x:c>
      <x:c r="D28" s="141" t="str">
        <x:v>nurture</x:v>
      </x:c>
      <x:c r="E28" s="141" t="str">
        <x:v>designer-beta-2026</x:v>
      </x:c>
      <x:c r="F28" s="141" t="str">
        <x:v>email-6-ready-to-test</x:v>
      </x:c>
      <x:c r="G28" s="141" t="str">
        <x:v>ready-to-test</x:v>
      </x:c>
      <x:c r="H28" s="141" t="str">
        <x:v>Apply for free beta access</x:v>
      </x:c>
      <x:c r="I28" s="150" t="str">
        <x:f>IF($B28="","",$B28&amp;IF(ISNUMBER(SEARCH("?",$B28)),"&amp;","?")&amp;"utm_source="&amp;$C28&amp;"&amp;utm_medium="&amp;$D28&amp;"&amp;utm_campaign="&amp;$E28&amp;IF($F28&lt;&gt;"","&amp;utm_content="&amp;$F28,"")&amp;IF($G28&lt;&gt;"","&amp;utm_term="&amp;$G28,""))</x:f>
        <x:v>https://stitchspeak.com/beta?utm_source=email&amp;utm_medium=nurture&amp;utm_campaign=designer-beta-2026&amp;utm_content=email-6-ready-to-test&amp;utm_term=ready-to-test</x:v>
      </x:c>
      <x:c r="J28" s="153" t="str">
        <x:v>Email nurture</x:v>
      </x:c>
      <x:c r="K28" s="153" t="str">
        <x:v>Use in Email 6: Ready to test it on a real release?</x:v>
      </x:c>
      <x:c r="L28" s="141" t="str">
        <x:v>Haim</x:v>
      </x:c>
      <x:c r="M28" s="141" t="str">
        <x:v>Ready</x:v>
      </x:c>
    </x:row>
  </x:sheetData>
  <x:mergeCells>
    <x:mergeCell ref="A1:M1"/>
    <x:mergeCell ref="A2:M2"/>
  </x:mergeCells>
  <x:conditionalFormatting sqref="M11:M28">
    <x:cfRule type="containsText" dxfId="14" priority="1" operator="containsText" text="Ready"/>
    <x:cfRule type="containsText" dxfId="15" priority="2" operator="containsText" text="Draft"/>
  </x:conditionalFormatting>
  <x:dataValidations count="1">
    <x:dataValidation type="list" sqref="M11:M28">
      <x:formula1>"Ready,Draft,Paused,Retired"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9fa954a89e452f"/>
  </x:tableParts>
</x:worksheet>
</file>